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EJIOGU EMMANUEL\Downloads\"/>
    </mc:Choice>
  </mc:AlternateContent>
  <xr:revisionPtr revIDLastSave="0" documentId="13_ncr:8001_{EC501BC3-83D6-4C7F-BB93-E3A73F1D544F}" xr6:coauthVersionLast="45" xr6:coauthVersionMax="47" xr10:uidLastSave="{00000000-0000-0000-0000-000000000000}"/>
  <bookViews>
    <workbookView xWindow="-120" yWindow="-120" windowWidth="20730" windowHeight="11760" firstSheet="4" activeTab="8" xr2:uid="{00000000-000D-0000-FFFF-FFFF00000000}"/>
  </bookViews>
  <sheets>
    <sheet name="Read Me" sheetId="1" r:id="rId1"/>
    <sheet name="Company Overview" sheetId="2" r:id="rId2"/>
    <sheet name="Historical Financials" sheetId="3" r:id="rId3"/>
    <sheet name="Forecast Assumptions" sheetId="4" r:id="rId4"/>
    <sheet name="Financial Forecast" sheetId="5" r:id="rId5"/>
    <sheet name="DCF Valuation" sheetId="6" r:id="rId6"/>
    <sheet name="Comparable Companies" sheetId="7" r:id="rId7"/>
    <sheet name="Dashboard" sheetId="8" r:id="rId8"/>
    <sheet name="Source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8" l="1"/>
  <c r="C26" i="3" l="1"/>
  <c r="I16" i="8"/>
  <c r="J7" i="7"/>
  <c r="I7" i="7"/>
  <c r="J6" i="7"/>
  <c r="I6" i="7"/>
  <c r="J5" i="7"/>
  <c r="J9" i="7" s="1"/>
  <c r="I5" i="7"/>
  <c r="I9" i="7" s="1"/>
  <c r="C12" i="7" s="1"/>
  <c r="C13" i="7" s="1"/>
  <c r="C14" i="7" s="1"/>
  <c r="C24" i="6"/>
  <c r="E5" i="8" s="1"/>
  <c r="C22" i="6"/>
  <c r="C20" i="6"/>
  <c r="C19" i="6"/>
  <c r="C7" i="6"/>
  <c r="C6" i="6"/>
  <c r="G8" i="5"/>
  <c r="F8" i="5"/>
  <c r="E8" i="5"/>
  <c r="D8" i="5"/>
  <c r="C8" i="5"/>
  <c r="G6" i="5"/>
  <c r="F6" i="5"/>
  <c r="E6" i="5"/>
  <c r="D6" i="5"/>
  <c r="C6" i="5"/>
  <c r="C5" i="5"/>
  <c r="C15" i="5" s="1"/>
  <c r="E33" i="3"/>
  <c r="D33" i="3"/>
  <c r="C33" i="3"/>
  <c r="E32" i="3"/>
  <c r="D32" i="3"/>
  <c r="C32" i="3"/>
  <c r="E31" i="3"/>
  <c r="D31" i="3"/>
  <c r="C31" i="3"/>
  <c r="E30" i="3"/>
  <c r="D30" i="3"/>
  <c r="C30" i="3"/>
  <c r="E29" i="3"/>
  <c r="J18" i="8" s="1"/>
  <c r="D29" i="3"/>
  <c r="J17" i="8" s="1"/>
  <c r="C29" i="3"/>
  <c r="J16" i="8" s="1"/>
  <c r="E28" i="3"/>
  <c r="I18" i="8" s="1"/>
  <c r="D28" i="3"/>
  <c r="I17" i="8" s="1"/>
  <c r="C28" i="3"/>
  <c r="E26" i="3"/>
  <c r="D26" i="3"/>
  <c r="E21" i="3"/>
  <c r="D21" i="3"/>
  <c r="C21" i="3"/>
  <c r="E17" i="3"/>
  <c r="D17" i="3"/>
  <c r="C17" i="3"/>
  <c r="E7" i="3"/>
  <c r="E27" i="3" s="1"/>
  <c r="D7" i="3"/>
  <c r="D27" i="3" s="1"/>
  <c r="C7" i="3"/>
  <c r="C27" i="3" s="1"/>
  <c r="C8" i="6" l="1"/>
  <c r="F14" i="6" s="1"/>
  <c r="C9" i="5"/>
  <c r="C7" i="5"/>
  <c r="C13" i="5"/>
  <c r="C14" i="5" s="1"/>
  <c r="D5" i="5"/>
  <c r="C14" i="6" l="1"/>
  <c r="E14" i="6"/>
  <c r="G14" i="6"/>
  <c r="H14" i="6" s="1"/>
  <c r="D14" i="6"/>
  <c r="C10" i="5"/>
  <c r="C11" i="5" s="1"/>
  <c r="C12" i="5" s="1"/>
  <c r="C16" i="5" s="1"/>
  <c r="C12" i="6" s="1"/>
  <c r="E5" i="5"/>
  <c r="D7" i="5"/>
  <c r="D9" i="5"/>
  <c r="D13" i="5"/>
  <c r="D14" i="5" s="1"/>
  <c r="D15" i="5"/>
  <c r="C15" i="6" l="1"/>
  <c r="D10" i="5"/>
  <c r="D11" i="5"/>
  <c r="D12" i="5" s="1"/>
  <c r="D16" i="5" s="1"/>
  <c r="D12" i="6" s="1"/>
  <c r="D15" i="6" s="1"/>
  <c r="E7" i="5"/>
  <c r="E9" i="5"/>
  <c r="E13" i="5"/>
  <c r="E14" i="5" s="1"/>
  <c r="E15" i="5"/>
  <c r="F5" i="5"/>
  <c r="F7" i="5" l="1"/>
  <c r="F9" i="5"/>
  <c r="F13" i="5"/>
  <c r="F14" i="5" s="1"/>
  <c r="F15" i="5"/>
  <c r="G5" i="5"/>
  <c r="E10" i="5"/>
  <c r="E11" i="5" l="1"/>
  <c r="E12" i="5" s="1"/>
  <c r="E16" i="5" s="1"/>
  <c r="E12" i="6" s="1"/>
  <c r="E15" i="6" s="1"/>
  <c r="G7" i="5"/>
  <c r="G9" i="5"/>
  <c r="G13" i="5"/>
  <c r="G14" i="5" s="1"/>
  <c r="G15" i="5"/>
  <c r="F10" i="5"/>
  <c r="G10" i="5" l="1"/>
  <c r="G11" i="5" s="1"/>
  <c r="F11" i="5"/>
  <c r="F12" i="5" s="1"/>
  <c r="F16" i="5" s="1"/>
  <c r="F12" i="6" s="1"/>
  <c r="F15" i="6" s="1"/>
  <c r="G12" i="5" l="1"/>
  <c r="G16" i="5" s="1"/>
  <c r="G12" i="6" s="1"/>
  <c r="G15" i="6" s="1"/>
  <c r="E31" i="6"/>
  <c r="G30" i="6"/>
  <c r="F30" i="6" l="1"/>
  <c r="D31" i="6"/>
  <c r="D34" i="6"/>
  <c r="F31" i="6"/>
  <c r="C33" i="6"/>
  <c r="F34" i="6"/>
  <c r="C30" i="6"/>
  <c r="D33" i="6"/>
  <c r="F32" i="6"/>
  <c r="E33" i="6"/>
  <c r="G34" i="6"/>
  <c r="C31" i="6"/>
  <c r="D30" i="6"/>
  <c r="E34" i="6"/>
  <c r="F33" i="6"/>
  <c r="G33" i="6"/>
  <c r="E30" i="6"/>
  <c r="C32" i="6"/>
  <c r="G31" i="6"/>
  <c r="D32" i="6"/>
  <c r="C34" i="6"/>
  <c r="G32" i="6"/>
  <c r="H12" i="6"/>
  <c r="H15" i="6" s="1"/>
  <c r="E32" i="6"/>
  <c r="C18" i="6"/>
  <c r="C21" i="6" s="1"/>
  <c r="C23" i="6" s="1"/>
  <c r="C25" i="6" s="1"/>
  <c r="B5" i="8" l="1"/>
  <c r="C26" i="6"/>
  <c r="J5" i="8" s="1"/>
</calcChain>
</file>

<file path=xl/sharedStrings.xml><?xml version="1.0" encoding="utf-8"?>
<sst xmlns="http://schemas.openxmlformats.org/spreadsheetml/2006/main" count="373" uniqueCount="299">
  <si>
    <t>Purpose</t>
  </si>
  <si>
    <t>Model convention</t>
  </si>
  <si>
    <t>Blue font</t>
  </si>
  <si>
    <t>Green font</t>
  </si>
  <si>
    <t>Black font</t>
  </si>
  <si>
    <t>Yellow fill</t>
  </si>
  <si>
    <t>Units</t>
  </si>
  <si>
    <t>Portfolio-ready equity research model</t>
  </si>
  <si>
    <t>Inputs are editable</t>
  </si>
  <si>
    <t>Hardcoded inputs</t>
  </si>
  <si>
    <t>Cross-sheet formulas</t>
  </si>
  <si>
    <t>Calculations</t>
  </si>
  <si>
    <t>Update/attention</t>
  </si>
  <si>
    <t>₦ billion unless stated</t>
  </si>
  <si>
    <t>1. Review historical data and source notes.</t>
  </si>
  <si>
    <t>Important: The workbook is an educational portfolio model. 2025 revenue, EBITDA, capacity and reference share price are based on the cited official investor-relations page. Other operating, balance-sheet, forecast and peer inputs are illustrative placeholders so the model remains complete and functional. They are clearly labelled and should not be represented as audited facts.</t>
  </si>
  <si>
    <t>2. Update blue-font assumptions in Forecast Assumptions.</t>
  </si>
  <si>
    <t>3. Review forecast statements and DCF outputs.</t>
  </si>
  <si>
    <t>4. Update peer market data in Comparable Companies.</t>
  </si>
  <si>
    <t>5. Read the dashboard and write a concise investment thesis.</t>
  </si>
  <si>
    <t>6. Replace illustrative inputs with audited/market data before publication.</t>
  </si>
  <si>
    <t>Output</t>
  </si>
  <si>
    <t>Location</t>
  </si>
  <si>
    <t>Historical ratio analysis</t>
  </si>
  <si>
    <t>Historical Financials</t>
  </si>
  <si>
    <t>Five-year integrated forecast</t>
  </si>
  <si>
    <t>Financial Forecast</t>
  </si>
  <si>
    <t>DCF and implied value per share</t>
  </si>
  <si>
    <t>DCF Valuation</t>
  </si>
  <si>
    <t>Peer valuation cross-check</t>
  </si>
  <si>
    <t>Comparable Companies</t>
  </si>
  <si>
    <t>Item</t>
  </si>
  <si>
    <t>Research note</t>
  </si>
  <si>
    <t>Company</t>
  </si>
  <si>
    <t>Dangote Cement Plc</t>
  </si>
  <si>
    <t>Ticker</t>
  </si>
  <si>
    <t>DANGCEM</t>
  </si>
  <si>
    <t>Listing</t>
  </si>
  <si>
    <t>Nigerian Exchange Limited</t>
  </si>
  <si>
    <t>Business</t>
  </si>
  <si>
    <t>Manufacture, sale and distribution of cement and related products across African markets</t>
  </si>
  <si>
    <t>Portfolio question</t>
  </si>
  <si>
    <t>Is the current market price supported by fundamentals and intrinsic value?</t>
  </si>
  <si>
    <t>Base currency / units</t>
  </si>
  <si>
    <t>Nigerian naira; financial statements in ₦ billion</t>
  </si>
  <si>
    <t>Category</t>
  </si>
  <si>
    <t>Factor</t>
  </si>
  <si>
    <t>Why it matters</t>
  </si>
  <si>
    <t>Indicator to monitor</t>
  </si>
  <si>
    <t>Model linkage</t>
  </si>
  <si>
    <t>Analyst view</t>
  </si>
  <si>
    <t>Revenue driver</t>
  </si>
  <si>
    <t>Volume growth</t>
  </si>
  <si>
    <t>Drives plant utilisation and revenue</t>
  </si>
  <si>
    <t>Sales volume / capacity utilisation</t>
  </si>
  <si>
    <t>Revenue growth</t>
  </si>
  <si>
    <t>Positive if demand outpaces cost inflation</t>
  </si>
  <si>
    <t>Pricing</t>
  </si>
  <si>
    <t>Offsets inflation and FX pressure</t>
  </si>
  <si>
    <t>Average selling price</t>
  </si>
  <si>
    <t>Requires demand resilience</t>
  </si>
  <si>
    <t>Cost driver</t>
  </si>
  <si>
    <t>Energy and fuel</t>
  </si>
  <si>
    <t>Material EBITDA-margin sensitivity</t>
  </si>
  <si>
    <t>Energy cost / tonne</t>
  </si>
  <si>
    <t>EBITDA margin</t>
  </si>
  <si>
    <t>Key downside risk</t>
  </si>
  <si>
    <t>Macro</t>
  </si>
  <si>
    <t>FX and inflation</t>
  </si>
  <si>
    <t>Affects imported inputs, pricing and discount rate</t>
  </si>
  <si>
    <t>NGN rate / CPI / yields</t>
  </si>
  <si>
    <t>WACC and margins</t>
  </si>
  <si>
    <t>Raises valuation uncertainty</t>
  </si>
  <si>
    <t>Catalyst</t>
  </si>
  <si>
    <t>Capacity utilisation</t>
  </si>
  <si>
    <t>Improves operating leverage</t>
  </si>
  <si>
    <t>Production volume</t>
  </si>
  <si>
    <t>Margins and capex</t>
  </si>
  <si>
    <t>Upside if fixed-cost absorption improves</t>
  </si>
  <si>
    <t>Risk</t>
  </si>
  <si>
    <t>Debt and interest cost</t>
  </si>
  <si>
    <t>Can reduce equity value and earnings</t>
  </si>
  <si>
    <t>Net debt / interest coverage</t>
  </si>
  <si>
    <t>DCF bridge</t>
  </si>
  <si>
    <t>Monitor refinancing risk</t>
  </si>
  <si>
    <t>ESG</t>
  </si>
  <si>
    <t>Emissions intensity</t>
  </si>
  <si>
    <t>May increase compliance/capex needs</t>
  </si>
  <si>
    <t>CO2 per tonne</t>
  </si>
  <si>
    <t>Capex / terminal value</t>
  </si>
  <si>
    <t>Long-term strategic risk</t>
  </si>
  <si>
    <t>2023A</t>
  </si>
  <si>
    <t>2024A</t>
  </si>
  <si>
    <t>2025A</t>
  </si>
  <si>
    <t>Source / status</t>
  </si>
  <si>
    <t>Revenue</t>
  </si>
  <si>
    <t>2025 official; 2023-24 illustrative</t>
  </si>
  <si>
    <t>COGS</t>
  </si>
  <si>
    <t>Illustrative placeholder</t>
  </si>
  <si>
    <t>Gross profit</t>
  </si>
  <si>
    <t>EBITDA</t>
  </si>
  <si>
    <t>EBIT</t>
  </si>
  <si>
    <t>Net finance cost</t>
  </si>
  <si>
    <t>Profit before tax</t>
  </si>
  <si>
    <t>Tax</t>
  </si>
  <si>
    <t>Net income</t>
  </si>
  <si>
    <t>Total assets</t>
  </si>
  <si>
    <t>Total equity</t>
  </si>
  <si>
    <t>Gross debt</t>
  </si>
  <si>
    <t>Cash</t>
  </si>
  <si>
    <t>Net debt</t>
  </si>
  <si>
    <t>Operating cash flow</t>
  </si>
  <si>
    <t>Capital expenditure</t>
  </si>
  <si>
    <t>Free cash flow</t>
  </si>
  <si>
    <t>Shares outstanding (bn)</t>
  </si>
  <si>
    <t>Ratio</t>
  </si>
  <si>
    <t>Formula</t>
  </si>
  <si>
    <t>Current revenue / prior revenue - 1</t>
  </si>
  <si>
    <t>Gross margin</t>
  </si>
  <si>
    <t>Gross profit / revenue</t>
  </si>
  <si>
    <t>EBITDA / revenue</t>
  </si>
  <si>
    <t>Net profit margin</t>
  </si>
  <si>
    <t>Net income / revenue</t>
  </si>
  <si>
    <t>Return on assets</t>
  </si>
  <si>
    <t>Net income / total assets</t>
  </si>
  <si>
    <t>Return on equity</t>
  </si>
  <si>
    <t>Net income / equity</t>
  </si>
  <si>
    <t>Debt / equity</t>
  </si>
  <si>
    <t>Gross debt / equity</t>
  </si>
  <si>
    <t>Interest coverage</t>
  </si>
  <si>
    <t>EBIT / absolute finance cost</t>
  </si>
  <si>
    <t>Assumption</t>
  </si>
  <si>
    <t>2026E</t>
  </si>
  <si>
    <t>2027E</t>
  </si>
  <si>
    <t>2028E</t>
  </si>
  <si>
    <t>2029E</t>
  </si>
  <si>
    <t>2030E</t>
  </si>
  <si>
    <t>Rationale</t>
  </si>
  <si>
    <t>Volume, pricing and market growth</t>
  </si>
  <si>
    <t>Normalisation from strong 2025 base</t>
  </si>
  <si>
    <t>D&amp;A as % revenue</t>
  </si>
  <si>
    <t>Asset-intensive operations</t>
  </si>
  <si>
    <t>Tax rate</t>
  </si>
  <si>
    <t>Illustrative effective rate</t>
  </si>
  <si>
    <t>Capex as % revenue</t>
  </si>
  <si>
    <t>Capacity and maintenance investment</t>
  </si>
  <si>
    <t>NWC as % revenue</t>
  </si>
  <si>
    <t>Operating working-capital requirement</t>
  </si>
  <si>
    <t>Risk-free rate</t>
  </si>
  <si>
    <t>Illustrative long-term NGN government yield</t>
  </si>
  <si>
    <t>Equity risk premium</t>
  </si>
  <si>
    <t>Illustrative market risk premium</t>
  </si>
  <si>
    <t>Beta</t>
  </si>
  <si>
    <t>Illustrative levered beta</t>
  </si>
  <si>
    <t>Pre-tax cost of debt</t>
  </si>
  <si>
    <t>Illustrative borrowing cost</t>
  </si>
  <si>
    <t>Debt weight</t>
  </si>
  <si>
    <t>Capital structure assumption</t>
  </si>
  <si>
    <t>Equity weight</t>
  </si>
  <si>
    <t>Terminal growth rate</t>
  </si>
  <si>
    <t>Long-term nominal growth assumption</t>
  </si>
  <si>
    <t>Reference share price</t>
  </si>
  <si>
    <t>Official investor-relations page, 16 Oct 2026</t>
  </si>
  <si>
    <t>Illustrative; update from latest annual report</t>
  </si>
  <si>
    <t>Gross debt (₦bn)</t>
  </si>
  <si>
    <t>Illustrative; linked to historical model</t>
  </si>
  <si>
    <t>Cash (₦bn)</t>
  </si>
  <si>
    <t>Growth</t>
  </si>
  <si>
    <t>D&amp;A</t>
  </si>
  <si>
    <t>Tax on EBIT</t>
  </si>
  <si>
    <t>NOPAT</t>
  </si>
  <si>
    <t>NWC</t>
  </si>
  <si>
    <t>Change in NWC</t>
  </si>
  <si>
    <t>Unlevered free cash flow</t>
  </si>
  <si>
    <t>Value</t>
  </si>
  <si>
    <t>Formula / note</t>
  </si>
  <si>
    <t>Cost of equity</t>
  </si>
  <si>
    <t>Rf + beta × ERP</t>
  </si>
  <si>
    <t>After-tax cost of debt</t>
  </si>
  <si>
    <t>Pre-tax cost × (1-tax rate)</t>
  </si>
  <si>
    <t>WACC</t>
  </si>
  <si>
    <t>Ke × E weight + Kd × D weight</t>
  </si>
  <si>
    <t>Metric</t>
  </si>
  <si>
    <t>Terminal</t>
  </si>
  <si>
    <t>Unlevered FCF</t>
  </si>
  <si>
    <t>Discount period</t>
  </si>
  <si>
    <t>Discount factor</t>
  </si>
  <si>
    <t>Present value</t>
  </si>
  <si>
    <t>Enterprise value</t>
  </si>
  <si>
    <t>Less: gross debt</t>
  </si>
  <si>
    <t>Add: cash</t>
  </si>
  <si>
    <t>Equity value</t>
  </si>
  <si>
    <t>Implied value per share</t>
  </si>
  <si>
    <t>Upside / (downside)</t>
  </si>
  <si>
    <t>Recommendation</t>
  </si>
  <si>
    <t>WACC \ TGR</t>
  </si>
  <si>
    <t>Share price (₦)</t>
  </si>
  <si>
    <t>Market cap (₦bn)</t>
  </si>
  <si>
    <t>Enterprise value (₦bn)</t>
  </si>
  <si>
    <t>Revenue (₦bn)</t>
  </si>
  <si>
    <t>EBITDA (₦bn)</t>
  </si>
  <si>
    <t>Net income (₦bn)</t>
  </si>
  <si>
    <t>EV / EBITDA</t>
  </si>
  <si>
    <t>P / E</t>
  </si>
  <si>
    <t>Dangote Cement</t>
  </si>
  <si>
    <t>BUA Cement</t>
  </si>
  <si>
    <t>Lafarge Africa</t>
  </si>
  <si>
    <t>Median</t>
  </si>
  <si>
    <t>Cross-check</t>
  </si>
  <si>
    <t>Method</t>
  </si>
  <si>
    <t>Dangote implied EV</t>
  </si>
  <si>
    <t>Median EV/EBITDA × Dangote EBITDA</t>
  </si>
  <si>
    <t>Implied equity value</t>
  </si>
  <si>
    <t>Implied EV - net debt</t>
  </si>
  <si>
    <t>Equity value / shares outstanding</t>
  </si>
  <si>
    <t>Important note</t>
  </si>
  <si>
    <t>Peer inputs status</t>
  </si>
  <si>
    <t>Illustrative placeholders for workbook demonstration. Replace with same-date market values and latest reported LTM financials before using the output.</t>
  </si>
  <si>
    <t>Selection logic</t>
  </si>
  <si>
    <t>Nigerian listed cement producers with broadly comparable sector exposure. Differences in geography, scale, leverage and accounting must be considered.</t>
  </si>
  <si>
    <t>Base case: revenue growth and operating leverage support cash-flow generation, while high nominal discount rates and execution risks constrain valuation. The model recommendation is formula-driven: Buy above +15% upside, Sell below -15%, otherwise Hold. Update all yellow assumptions and peer data before presenting the conclusion.</t>
  </si>
  <si>
    <t>Type</t>
  </si>
  <si>
    <t>Impact</t>
  </si>
  <si>
    <t>Energy/fuel inflation</t>
  </si>
  <si>
    <t>Margin compression</t>
  </si>
  <si>
    <t>FX and higher yields</t>
  </si>
  <si>
    <t>Higher costs and WACC</t>
  </si>
  <si>
    <t>Pricing and volume growth</t>
  </si>
  <si>
    <t>Revenue upside</t>
  </si>
  <si>
    <t>Operating leverage</t>
  </si>
  <si>
    <t>Margin and FCF upside</t>
  </si>
  <si>
    <t>Year</t>
  </si>
  <si>
    <t>Net margin</t>
  </si>
  <si>
    <t>Question</t>
  </si>
  <si>
    <t>Status</t>
  </si>
  <si>
    <t>Evidence / next action</t>
  </si>
  <si>
    <t>Are historical figures sourced?</t>
  </si>
  <si>
    <t>Partial</t>
  </si>
  <si>
    <t>2025 headline figures cited; replace illustrative placeholders</t>
  </si>
  <si>
    <t>Are forecasts linked to assumptions?</t>
  </si>
  <si>
    <t>Yes</t>
  </si>
  <si>
    <t>Formula-driven forecast sheet</t>
  </si>
  <si>
    <t>Is valuation triangulated?</t>
  </si>
  <si>
    <t>DCF plus peer multiples</t>
  </si>
  <si>
    <t>Are material risks identified?</t>
  </si>
  <si>
    <t>Macro, operating, leverage and ESG</t>
  </si>
  <si>
    <t>Can another analyst audit the model?</t>
  </si>
  <si>
    <t>Separated inputs, formulas and source notes</t>
  </si>
  <si>
    <t>Source</t>
  </si>
  <si>
    <t>URL</t>
  </si>
  <si>
    <t>Data used</t>
  </si>
  <si>
    <t>As of / period</t>
  </si>
  <si>
    <t>Dangote Cement Investor Relations</t>
  </si>
  <si>
    <t>https://cement.dangote.com/investor-relations/</t>
  </si>
  <si>
    <t>2025 revenue ₦4,306.704bn; EBITDA ₦1,981.349bn; capacity 55.0MTA; share price ₦1,066.70</t>
  </si>
  <si>
    <t>Share price 16 Oct 2026; FY2025 results</t>
  </si>
  <si>
    <t>Official</t>
  </si>
  <si>
    <t>Dangote Cement 2025 Annual Report page</t>
  </si>
  <si>
    <t>https://cement.dangote.com/annual-report-2025/</t>
  </si>
  <si>
    <t>Primary reference for annual report update</t>
  </si>
  <si>
    <t>FY2025</t>
  </si>
  <si>
    <t>NGX 2025 audited financial statements</t>
  </si>
  <si>
    <t>https://doclib.ngxgroup.com/Financial_NewsDocs/DANGOTE_CEMENT_PLC_-_2025_AUDITED_FINANCIAL_STATEMENTS.pdf</t>
  </si>
  <si>
    <t>Primary filing for detailed statement replacement</t>
  </si>
  <si>
    <t>Official filing</t>
  </si>
  <si>
    <t>Model author assumptions</t>
  </si>
  <si>
    <t>Internal workbook cells</t>
  </si>
  <si>
    <t>Historical placeholders, forecasts, WACC and peer data</t>
  </si>
  <si>
    <t>Illustrative</t>
  </si>
  <si>
    <t>Must be refreshed</t>
  </si>
  <si>
    <t>Model limitation</t>
  </si>
  <si>
    <t>This workbook is for a portfolio demonstration, not investment advice.</t>
  </si>
  <si>
    <t>Illustrative inputs are deliberately visible in blue/yellow and identified by source/status notes.</t>
  </si>
  <si>
    <t>Valuation is highly sensitive to WACC, terminal growth, margins and capital expenditure.</t>
  </si>
  <si>
    <t>Core Outputs</t>
  </si>
  <si>
    <t>How to Use</t>
  </si>
  <si>
    <t>Dangote Cement Plc | Excel Equity Research Model</t>
  </si>
  <si>
    <t>Company Snapshot</t>
  </si>
  <si>
    <t>Company Overview &amp; Research Framework</t>
  </si>
  <si>
    <t>Historical Financial Analysis</t>
  </si>
  <si>
    <t>Key Financial Ratios</t>
  </si>
  <si>
    <t>Forecast Assumptions &amp; Scenarios</t>
  </si>
  <si>
    <t>DCF &amp; Market Assumptions</t>
  </si>
  <si>
    <t>Five-Year Financial Forecast</t>
  </si>
  <si>
    <t>Discounted Cash flow Valuation</t>
  </si>
  <si>
    <t>DCF Schedule</t>
  </si>
  <si>
    <t>DCF Sensitivity: Implied Value Per Share (₦)</t>
  </si>
  <si>
    <t>WACC Calculation</t>
  </si>
  <si>
    <t>Equity Value Bridge</t>
  </si>
  <si>
    <t>Comparable Company Valuation</t>
  </si>
  <si>
    <t>Key Risks &amp; Catalysts</t>
  </si>
  <si>
    <t>Investment Thesis</t>
  </si>
  <si>
    <t>Implied Value / Share</t>
  </si>
  <si>
    <t>Reference Price</t>
  </si>
  <si>
    <t>Upside / (Downside)</t>
  </si>
  <si>
    <t>Analyst Checkout</t>
  </si>
  <si>
    <t>Research Drives, Catalysts &amp; Risks</t>
  </si>
  <si>
    <t>Dangote Cement | Investment Research Dashboard</t>
  </si>
  <si>
    <t>Sources, Data Status &amp; Model Limitations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</si>
</sst>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;[Red]\(#,##0.0\);\-"/>
    <numFmt numFmtId="165" formatCode="0.0%;[Red]\(0.0%\);\-"/>
    <numFmt numFmtId="166" formatCode="0.0\x;[Red]\(0.0\x\);\-"/>
    <numFmt numFmtId="167" formatCode="\₦#,##0.00;[Red]\(\₦#,##0.00\);\-"/>
    <numFmt numFmtId="168" formatCode="#,##0;[Red]\(#,##0\);\-"/>
    <numFmt numFmtId="169" formatCode="0%;[Red]\(0%\);\-"/>
  </numFmts>
  <fonts count="13">
    <font>
      <sz val="11"/>
      <name val="Carlito"/>
    </font>
    <font>
      <sz val="11"/>
      <color theme="0"/>
      <name val="Calibri Light"/>
      <family val="2"/>
    </font>
    <font>
      <sz val="11"/>
      <name val="Calibri Light"/>
      <family val="2"/>
    </font>
    <font>
      <b/>
      <sz val="11"/>
      <color rgb="FFFFFFFF"/>
      <name val="Calibri Light"/>
      <family val="2"/>
    </font>
    <font>
      <b/>
      <sz val="11"/>
      <name val="Calibri Light"/>
      <family val="2"/>
    </font>
    <font>
      <sz val="11"/>
      <color rgb="FFFFFFFF"/>
      <name val="Calibri Light"/>
      <family val="2"/>
    </font>
    <font>
      <sz val="16"/>
      <name val="Calibri Light"/>
      <family val="2"/>
    </font>
    <font>
      <b/>
      <u/>
      <sz val="16"/>
      <name val="Calibri Light"/>
      <family val="2"/>
    </font>
    <font>
      <sz val="11"/>
      <color rgb="FF0000FF"/>
      <name val="Calibri Light"/>
      <family val="2"/>
    </font>
    <font>
      <sz val="11"/>
      <color rgb="FF000000"/>
      <name val="Calibri Light"/>
      <family val="2"/>
    </font>
    <font>
      <u/>
      <sz val="11"/>
      <color theme="10"/>
      <name val="Carlito"/>
    </font>
    <font>
      <sz val="11"/>
      <color rgb="FF008000"/>
      <name val="Calibri Light"/>
      <family val="2"/>
    </font>
    <font>
      <sz val="16"/>
      <color theme="6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6">
    <xf numFmtId="0" fontId="0" fillId="0" borderId="0" xfId="0"/>
    <xf numFmtId="0" fontId="2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166" fontId="2" fillId="0" borderId="0" xfId="0" applyNumberFormat="1" applyFont="1" applyAlignment="1">
      <alignment vertical="center"/>
    </xf>
    <xf numFmtId="0" fontId="2" fillId="0" borderId="0" xfId="0" applyFont="1" applyFill="1"/>
    <xf numFmtId="168" fontId="8" fillId="0" borderId="2" xfId="0" applyNumberFormat="1" applyFont="1" applyFill="1" applyBorder="1" applyAlignment="1">
      <alignment horizontal="center" vertical="center"/>
    </xf>
    <xf numFmtId="168" fontId="9" fillId="0" borderId="2" xfId="0" applyNumberFormat="1" applyFont="1" applyFill="1" applyBorder="1" applyAlignment="1">
      <alignment horizontal="center" vertical="center"/>
    </xf>
    <xf numFmtId="166" fontId="2" fillId="0" borderId="2" xfId="0" applyNumberFormat="1" applyFont="1" applyFill="1" applyBorder="1" applyAlignment="1">
      <alignment horizontal="center" vertical="center"/>
    </xf>
    <xf numFmtId="169" fontId="2" fillId="0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9" fontId="8" fillId="2" borderId="2" xfId="0" applyNumberFormat="1" applyFont="1" applyFill="1" applyBorder="1" applyAlignment="1">
      <alignment horizontal="center" vertical="center"/>
    </xf>
    <xf numFmtId="167" fontId="8" fillId="2" borderId="2" xfId="0" applyNumberFormat="1" applyFont="1" applyFill="1" applyBorder="1" applyAlignment="1">
      <alignment horizontal="center" vertical="center"/>
    </xf>
    <xf numFmtId="164" fontId="8" fillId="2" borderId="2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0" borderId="1" xfId="0" applyFont="1" applyBorder="1" applyAlignment="1">
      <alignment vertical="center"/>
    </xf>
    <xf numFmtId="164" fontId="11" fillId="0" borderId="2" xfId="0" applyNumberFormat="1" applyFont="1" applyBorder="1" applyAlignment="1">
      <alignment vertical="center"/>
    </xf>
    <xf numFmtId="165" fontId="11" fillId="0" borderId="2" xfId="0" applyNumberFormat="1" applyFont="1" applyBorder="1" applyAlignment="1">
      <alignment vertical="center"/>
    </xf>
    <xf numFmtId="0" fontId="1" fillId="0" borderId="0" xfId="0" applyFont="1" applyFill="1" applyAlignment="1">
      <alignment vertical="center"/>
    </xf>
    <xf numFmtId="164" fontId="2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  <xf numFmtId="167" fontId="2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horizontal="center" vertical="center"/>
    </xf>
    <xf numFmtId="169" fontId="2" fillId="0" borderId="2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4" fillId="3" borderId="2" xfId="0" applyFont="1" applyFill="1" applyBorder="1" applyAlignment="1">
      <alignment horizontal="right" vertical="center"/>
    </xf>
    <xf numFmtId="0" fontId="2" fillId="0" borderId="1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vertical="center"/>
    </xf>
    <xf numFmtId="165" fontId="5" fillId="4" borderId="2" xfId="0" applyNumberFormat="1" applyFont="1" applyFill="1" applyBorder="1" applyAlignment="1">
      <alignment horizontal="center" vertical="center"/>
    </xf>
    <xf numFmtId="166" fontId="1" fillId="4" borderId="2" xfId="0" applyNumberFormat="1" applyFont="1" applyFill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/>
    </xf>
    <xf numFmtId="0" fontId="10" fillId="0" borderId="2" xfId="1" applyFill="1" applyBorder="1" applyAlignment="1">
      <alignment vertical="center"/>
    </xf>
    <xf numFmtId="169" fontId="2" fillId="2" borderId="2" xfId="0" applyNumberFormat="1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67" fontId="6" fillId="0" borderId="2" xfId="0" applyNumberFormat="1" applyFont="1" applyFill="1" applyBorder="1" applyAlignment="1">
      <alignment horizontal="center" vertical="center"/>
    </xf>
    <xf numFmtId="165" fontId="6" fillId="0" borderId="2" xfId="0" applyNumberFormat="1" applyFont="1" applyFill="1" applyBorder="1" applyAlignment="1">
      <alignment horizontal="center" vertical="center"/>
    </xf>
    <xf numFmtId="49" fontId="12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8000"/>
      <color rgb="FF253A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b="0" u="sng">
                <a:solidFill>
                  <a:sysClr val="windowText" lastClr="000000"/>
                </a:solidFill>
              </a:rPr>
              <a:t>Revenue, EBITDA and Net Income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ysClr val="windowText" lastClr="0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Dashboard!$B$14:$B$16</c:f>
              <c:strCache>
                <c:ptCount val="3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</c:strCache>
            </c:strRef>
          </c:cat>
          <c:val>
            <c:numRef>
              <c:f>Dashboard!$C$14:$C$16</c:f>
              <c:numCache>
                <c:formatCode>General</c:formatCode>
                <c:ptCount val="3"/>
                <c:pt idx="0">
                  <c:v>2400</c:v>
                </c:pt>
                <c:pt idx="1">
                  <c:v>3500</c:v>
                </c:pt>
                <c:pt idx="2">
                  <c:v>4306.7039999999997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2A-44EA-904B-2E9529A80E5E}"/>
            </c:ext>
          </c:extLst>
        </c:ser>
        <c:ser>
          <c:idx val="1"/>
          <c:order val="1"/>
          <c:tx>
            <c:v>EBITDA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Dashboard!$B$14:$B$16</c:f>
              <c:strCache>
                <c:ptCount val="3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</c:strCache>
            </c:strRef>
          </c:cat>
          <c:val>
            <c:numRef>
              <c:f>Dashboard!$D$14:$D$16</c:f>
              <c:numCache>
                <c:formatCode>General</c:formatCode>
                <c:ptCount val="3"/>
                <c:pt idx="0">
                  <c:v>950</c:v>
                </c:pt>
                <c:pt idx="1">
                  <c:v>1380</c:v>
                </c:pt>
                <c:pt idx="2">
                  <c:v>1981.3489999999999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2A-44EA-904B-2E9529A80E5E}"/>
            </c:ext>
          </c:extLst>
        </c:ser>
        <c:ser>
          <c:idx val="2"/>
          <c:order val="2"/>
          <c:tx>
            <c:v>Net income</c:v>
          </c:tx>
          <c:spPr>
            <a:solidFill>
              <a:srgbClr val="196B24">
                <a:lumMod val="20000"/>
                <a:lumOff val="8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Dashboard!$B$14:$B$16</c:f>
              <c:strCache>
                <c:ptCount val="3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</c:strCache>
            </c:strRef>
          </c:cat>
          <c:val>
            <c:numRef>
              <c:f>Dashboard!$E$14:$E$16</c:f>
              <c:numCache>
                <c:formatCode>General</c:formatCode>
                <c:ptCount val="3"/>
                <c:pt idx="0">
                  <c:v>435</c:v>
                </c:pt>
                <c:pt idx="1">
                  <c:v>630</c:v>
                </c:pt>
                <c:pt idx="2">
                  <c:v>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2A-44EA-904B-2E9529A80E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639989743"/>
        <c:axId val="639993583"/>
      </c:barChart>
      <c:catAx>
        <c:axId val="63998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39993583"/>
        <c:crosses val="autoZero"/>
        <c:auto val="1"/>
        <c:lblAlgn val="ctr"/>
        <c:lblOffset val="100"/>
        <c:noMultiLvlLbl val="0"/>
      </c:catAx>
      <c:valAx>
        <c:axId val="639993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3998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b="0" u="sng">
                <a:solidFill>
                  <a:sysClr val="windowText" lastClr="000000"/>
                </a:solidFill>
              </a:rPr>
              <a:t>Profitability Margins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EBITDA margin</c:v>
          </c:tx>
          <c:spPr>
            <a:ln>
              <a:solidFill>
                <a:sysClr val="windowText" lastClr="000000"/>
              </a:solidFill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7204301075268818E-3"/>
                  <c:y val="-4.90196078431372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27B-4F9C-AC59-F2564D2A0672}"/>
                </c:ext>
              </c:extLst>
            </c:dLbl>
            <c:dLbl>
              <c:idx val="1"/>
              <c:layout>
                <c:manualLayout>
                  <c:x val="0"/>
                  <c:y val="3.67647058823529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7B-4F9C-AC59-F2564D2A06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Dashboard!$H$16:$H$18</c:f>
              <c:strCache>
                <c:ptCount val="3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</c:strCache>
            </c:strRef>
          </c:cat>
          <c:val>
            <c:numRef>
              <c:f>Dashboard!$I$16:$I$18</c:f>
              <c:numCache>
                <c:formatCode>0.0%;[Red]\(0.0%\);\-</c:formatCode>
                <c:ptCount val="3"/>
                <c:pt idx="0">
                  <c:v>0.39583333333333331</c:v>
                </c:pt>
                <c:pt idx="1">
                  <c:v>0.39428571428571429</c:v>
                </c:pt>
                <c:pt idx="2">
                  <c:v>0.46006156912571655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2A-44EA-904B-2E9529A80E5E}"/>
            </c:ext>
          </c:extLst>
        </c:ser>
        <c:ser>
          <c:idx val="1"/>
          <c:order val="1"/>
          <c:tx>
            <c:v>Net margin</c:v>
          </c:tx>
          <c:spPr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1068820671032238E-17"/>
                  <c:y val="5.31045751633985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27B-4F9C-AC59-F2564D2A0672}"/>
                </c:ext>
              </c:extLst>
            </c:dLbl>
            <c:dLbl>
              <c:idx val="1"/>
              <c:layout>
                <c:manualLayout>
                  <c:x val="2.2401433691755452E-3"/>
                  <c:y val="4.90196078431372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27B-4F9C-AC59-F2564D2A06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Dashboard!$H$16:$H$18</c:f>
              <c:strCache>
                <c:ptCount val="3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</c:strCache>
            </c:strRef>
          </c:cat>
          <c:val>
            <c:numRef>
              <c:f>Dashboard!$J$16:$J$18</c:f>
              <c:numCache>
                <c:formatCode>0.0%;[Red]\(0.0%\);\-</c:formatCode>
                <c:ptCount val="3"/>
                <c:pt idx="0">
                  <c:v>0.18124999999999999</c:v>
                </c:pt>
                <c:pt idx="1">
                  <c:v>0.18</c:v>
                </c:pt>
                <c:pt idx="2">
                  <c:v>0.22523024568208078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2A-44EA-904B-2E9529A80E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39989743"/>
        <c:axId val="639993583"/>
      </c:lineChart>
      <c:catAx>
        <c:axId val="63998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39993583"/>
        <c:crosses val="autoZero"/>
        <c:auto val="1"/>
        <c:lblAlgn val="ctr"/>
        <c:lblOffset val="100"/>
        <c:noMultiLvlLbl val="0"/>
      </c:catAx>
      <c:valAx>
        <c:axId val="639993583"/>
        <c:scaling>
          <c:orientation val="minMax"/>
        </c:scaling>
        <c:delete val="0"/>
        <c:axPos val="l"/>
        <c:numFmt formatCode="0.0%;[Red]\(0.0%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3998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0</xdr:rowOff>
    </xdr:from>
    <xdr:to>
      <xdr:col>6</xdr:col>
      <xdr:colOff>0</xdr:colOff>
      <xdr:row>36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281940</xdr:colOff>
      <xdr:row>19</xdr:row>
      <xdr:rowOff>7620</xdr:rowOff>
    </xdr:from>
    <xdr:to>
      <xdr:col>10</xdr:col>
      <xdr:colOff>304800</xdr:colOff>
      <xdr:row>36</xdr:row>
      <xdr:rowOff>7620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Union Maritime">
    <a:dk1>
      <a:sysClr val="windowText" lastClr="000000"/>
    </a:dk1>
    <a:lt1>
      <a:sysClr val="window" lastClr="FFFFFF"/>
    </a:lt1>
    <a:dk2>
      <a:srgbClr val="253A62"/>
    </a:dk2>
    <a:lt2>
      <a:srgbClr val="EEECE1"/>
    </a:lt2>
    <a:accent1>
      <a:srgbClr val="253A62"/>
    </a:accent1>
    <a:accent2>
      <a:srgbClr val="A6A7AB"/>
    </a:accent2>
    <a:accent3>
      <a:srgbClr val="92A9D5"/>
    </a:accent3>
    <a:accent4>
      <a:srgbClr val="5B7EC1"/>
    </a:accent4>
    <a:accent5>
      <a:srgbClr val="DBDBDD"/>
    </a:accent5>
    <a:accent6>
      <a:srgbClr val="CCCCFF"/>
    </a:accent6>
    <a:hlink>
      <a:srgbClr val="0000FF"/>
    </a:hlink>
    <a:folHlink>
      <a:srgbClr val="800080"/>
    </a:folHlink>
  </a:clrScheme>
  <a:fontScheme name="Calibri">
    <a:majorFont>
      <a:latin typeface="Calibri" panose="020F0502020204030204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Union Maritime">
    <a:dk1>
      <a:sysClr val="windowText" lastClr="000000"/>
    </a:dk1>
    <a:lt1>
      <a:sysClr val="window" lastClr="FFFFFF"/>
    </a:lt1>
    <a:dk2>
      <a:srgbClr val="253A62"/>
    </a:dk2>
    <a:lt2>
      <a:srgbClr val="EEECE1"/>
    </a:lt2>
    <a:accent1>
      <a:srgbClr val="253A62"/>
    </a:accent1>
    <a:accent2>
      <a:srgbClr val="A6A7AB"/>
    </a:accent2>
    <a:accent3>
      <a:srgbClr val="92A9D5"/>
    </a:accent3>
    <a:accent4>
      <a:srgbClr val="5B7EC1"/>
    </a:accent4>
    <a:accent5>
      <a:srgbClr val="DBDBDD"/>
    </a:accent5>
    <a:accent6>
      <a:srgbClr val="CCCCFF"/>
    </a:accent6>
    <a:hlink>
      <a:srgbClr val="0000FF"/>
    </a:hlink>
    <a:folHlink>
      <a:srgbClr val="800080"/>
    </a:folHlink>
  </a:clrScheme>
  <a:fontScheme name="Calibri">
    <a:majorFont>
      <a:latin typeface="Calibri" panose="020F0502020204030204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doclib.ngxgroup.com/Financial_NewsDocs/DANGOTE_CEMENT_PLC_-_2025_AUDITED_FINANCIAL_STATEMENTS.pdf" TargetMode="External"/><Relationship Id="rId2" Type="http://schemas.openxmlformats.org/officeDocument/2006/relationships/hyperlink" Target="https://cement.dangote.com/annual-report-2025/" TargetMode="External"/><Relationship Id="rId1" Type="http://schemas.openxmlformats.org/officeDocument/2006/relationships/hyperlink" Target="https://cement.dangote.com/investor-rela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0"/>
  <sheetViews>
    <sheetView showGridLines="0" zoomScale="90" zoomScaleNormal="90" zoomScaleSheetLayoutView="100" workbookViewId="0">
      <selection activeCell="C8" sqref="C8:H13"/>
    </sheetView>
  </sheetViews>
  <sheetFormatPr defaultColWidth="8.75" defaultRowHeight="15"/>
  <cols>
    <col min="1" max="1" width="2.75" style="1" customWidth="1"/>
    <col min="2" max="2" width="54.625" style="1" bestFit="1" customWidth="1"/>
    <col min="3" max="3" width="19.25" style="1" bestFit="1" customWidth="1"/>
    <col min="4" max="4" width="14.875" style="1" bestFit="1" customWidth="1"/>
    <col min="5" max="5" width="17.375" style="1" bestFit="1" customWidth="1"/>
    <col min="6" max="6" width="10.25" style="1" bestFit="1" customWidth="1"/>
    <col min="7" max="7" width="14.75" style="1" bestFit="1" customWidth="1"/>
    <col min="8" max="8" width="18.375" style="1" bestFit="1" customWidth="1"/>
    <col min="9" max="16384" width="8.75" style="1"/>
  </cols>
  <sheetData>
    <row r="2" spans="2:8" ht="21">
      <c r="B2" s="43" t="s">
        <v>276</v>
      </c>
      <c r="C2" s="43"/>
      <c r="D2" s="43"/>
      <c r="E2" s="43"/>
      <c r="F2" s="43"/>
      <c r="G2" s="43"/>
      <c r="H2" s="43"/>
    </row>
    <row r="4" spans="2:8">
      <c r="B4" s="32" t="s">
        <v>0</v>
      </c>
      <c r="C4" s="32" t="s">
        <v>1</v>
      </c>
      <c r="D4" s="32" t="s">
        <v>2</v>
      </c>
      <c r="E4" s="32" t="s">
        <v>3</v>
      </c>
      <c r="F4" s="32" t="s">
        <v>4</v>
      </c>
      <c r="G4" s="32" t="s">
        <v>5</v>
      </c>
      <c r="H4" s="32" t="s">
        <v>6</v>
      </c>
    </row>
    <row r="5" spans="2:8">
      <c r="B5" s="2" t="s">
        <v>7</v>
      </c>
      <c r="C5" s="2" t="s">
        <v>8</v>
      </c>
      <c r="D5" s="9" t="s">
        <v>9</v>
      </c>
      <c r="E5" s="42" t="s">
        <v>10</v>
      </c>
      <c r="F5" s="2" t="s">
        <v>11</v>
      </c>
      <c r="G5" s="41" t="s">
        <v>12</v>
      </c>
      <c r="H5" s="2" t="s">
        <v>13</v>
      </c>
    </row>
    <row r="7" spans="2:8">
      <c r="B7" s="44" t="s">
        <v>275</v>
      </c>
      <c r="C7" s="44"/>
      <c r="D7" s="44"/>
      <c r="E7" s="44"/>
      <c r="F7" s="44"/>
      <c r="G7" s="44"/>
      <c r="H7" s="44"/>
    </row>
    <row r="8" spans="2:8">
      <c r="B8" s="3" t="s">
        <v>14</v>
      </c>
      <c r="C8" s="45" t="s">
        <v>15</v>
      </c>
      <c r="D8" s="45"/>
      <c r="E8" s="45"/>
      <c r="F8" s="45"/>
      <c r="G8" s="45"/>
      <c r="H8" s="45"/>
    </row>
    <row r="9" spans="2:8">
      <c r="B9" s="2" t="s">
        <v>16</v>
      </c>
      <c r="C9" s="45"/>
      <c r="D9" s="45"/>
      <c r="E9" s="45"/>
      <c r="F9" s="45"/>
      <c r="G9" s="45"/>
      <c r="H9" s="45"/>
    </row>
    <row r="10" spans="2:8">
      <c r="B10" s="2" t="s">
        <v>17</v>
      </c>
      <c r="C10" s="45"/>
      <c r="D10" s="45"/>
      <c r="E10" s="45"/>
      <c r="F10" s="45"/>
      <c r="G10" s="45"/>
      <c r="H10" s="45"/>
    </row>
    <row r="11" spans="2:8">
      <c r="B11" s="2" t="s">
        <v>18</v>
      </c>
      <c r="C11" s="45"/>
      <c r="D11" s="45"/>
      <c r="E11" s="45"/>
      <c r="F11" s="45"/>
      <c r="G11" s="45"/>
      <c r="H11" s="45"/>
    </row>
    <row r="12" spans="2:8">
      <c r="B12" s="2" t="s">
        <v>19</v>
      </c>
      <c r="C12" s="45"/>
      <c r="D12" s="45"/>
      <c r="E12" s="45"/>
      <c r="F12" s="45"/>
      <c r="G12" s="45"/>
      <c r="H12" s="45"/>
    </row>
    <row r="13" spans="2:8">
      <c r="B13" s="2" t="s">
        <v>20</v>
      </c>
      <c r="C13" s="45"/>
      <c r="D13" s="45"/>
      <c r="E13" s="45"/>
      <c r="F13" s="45"/>
      <c r="G13" s="45"/>
      <c r="H13" s="45"/>
    </row>
    <row r="15" spans="2:8">
      <c r="B15" s="44" t="s">
        <v>274</v>
      </c>
      <c r="C15" s="44"/>
    </row>
    <row r="16" spans="2:8">
      <c r="B16" s="32" t="s">
        <v>21</v>
      </c>
      <c r="C16" s="32" t="s">
        <v>22</v>
      </c>
    </row>
    <row r="17" spans="2:3">
      <c r="B17" s="2" t="s">
        <v>23</v>
      </c>
      <c r="C17" s="2" t="s">
        <v>24</v>
      </c>
    </row>
    <row r="18" spans="2:3">
      <c r="B18" s="2" t="s">
        <v>25</v>
      </c>
      <c r="C18" s="2" t="s">
        <v>26</v>
      </c>
    </row>
    <row r="19" spans="2:3">
      <c r="B19" s="2" t="s">
        <v>27</v>
      </c>
      <c r="C19" s="2" t="s">
        <v>28</v>
      </c>
    </row>
    <row r="20" spans="2:3">
      <c r="B20" s="2" t="s">
        <v>29</v>
      </c>
      <c r="C20" s="2" t="s">
        <v>30</v>
      </c>
    </row>
  </sheetData>
  <sheetProtection algorithmName="SHA-512" hashValue="LneQPVIVVOKO+ac2k7VLiSbbmOmYdlQXV8jXQebwr7FoGl63KANdC6/khywOZPY5hQzLwtnT83AfJrbhkSJNuw==" saltValue="thyGhD0WjDQD+CTi5H3lNw==" spinCount="100000" sheet="1" objects="1" scenarios="1"/>
  <mergeCells count="4">
    <mergeCell ref="B2:H2"/>
    <mergeCell ref="B7:H7"/>
    <mergeCell ref="C8:H13"/>
    <mergeCell ref="B15:C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21"/>
  <sheetViews>
    <sheetView showGridLines="0" zoomScale="80" zoomScaleNormal="80" zoomScaleSheetLayoutView="100" workbookViewId="0">
      <selection activeCell="F23" sqref="A1:XFD1048576"/>
    </sheetView>
  </sheetViews>
  <sheetFormatPr defaultColWidth="8.75" defaultRowHeight="15"/>
  <cols>
    <col min="1" max="1" width="2.75" style="1" customWidth="1"/>
    <col min="2" max="2" width="16.125" style="1" bestFit="1" customWidth="1"/>
    <col min="3" max="3" width="16.875" style="1" bestFit="1" customWidth="1"/>
    <col min="4" max="4" width="36.75" style="1" bestFit="1" customWidth="1"/>
    <col min="5" max="5" width="25.375" style="1" bestFit="1" customWidth="1"/>
    <col min="6" max="6" width="17.25" style="1" bestFit="1" customWidth="1"/>
    <col min="7" max="7" width="31" style="1" customWidth="1"/>
    <col min="8" max="16384" width="8.75" style="1"/>
  </cols>
  <sheetData>
    <row r="2" spans="2:7" ht="21">
      <c r="B2" s="43" t="s">
        <v>278</v>
      </c>
      <c r="C2" s="43"/>
      <c r="D2" s="43"/>
      <c r="E2" s="43"/>
      <c r="F2" s="43"/>
      <c r="G2" s="43"/>
    </row>
    <row r="4" spans="2:7">
      <c r="B4" s="44" t="s">
        <v>277</v>
      </c>
      <c r="C4" s="44"/>
      <c r="D4" s="44"/>
      <c r="E4" s="44"/>
    </row>
    <row r="5" spans="2:7">
      <c r="B5" s="32" t="s">
        <v>31</v>
      </c>
      <c r="C5" s="44" t="s">
        <v>32</v>
      </c>
      <c r="D5" s="44"/>
      <c r="E5" s="44"/>
    </row>
    <row r="6" spans="2:7">
      <c r="B6" s="2" t="s">
        <v>33</v>
      </c>
      <c r="C6" s="46" t="s">
        <v>34</v>
      </c>
      <c r="D6" s="46"/>
      <c r="E6" s="46"/>
    </row>
    <row r="7" spans="2:7">
      <c r="B7" s="2" t="s">
        <v>35</v>
      </c>
      <c r="C7" s="46" t="s">
        <v>36</v>
      </c>
      <c r="D7" s="46"/>
      <c r="E7" s="46"/>
    </row>
    <row r="8" spans="2:7">
      <c r="B8" s="2" t="s">
        <v>37</v>
      </c>
      <c r="C8" s="46" t="s">
        <v>38</v>
      </c>
      <c r="D8" s="46"/>
      <c r="E8" s="46"/>
    </row>
    <row r="9" spans="2:7">
      <c r="B9" s="2" t="s">
        <v>39</v>
      </c>
      <c r="C9" s="46" t="s">
        <v>40</v>
      </c>
      <c r="D9" s="46"/>
      <c r="E9" s="46"/>
    </row>
    <row r="10" spans="2:7">
      <c r="B10" s="2" t="s">
        <v>41</v>
      </c>
      <c r="C10" s="46" t="s">
        <v>42</v>
      </c>
      <c r="D10" s="46"/>
      <c r="E10" s="46"/>
    </row>
    <row r="11" spans="2:7">
      <c r="B11" s="2" t="s">
        <v>43</v>
      </c>
      <c r="C11" s="46" t="s">
        <v>44</v>
      </c>
      <c r="D11" s="46"/>
      <c r="E11" s="46"/>
    </row>
    <row r="13" spans="2:7">
      <c r="B13" s="44" t="s">
        <v>296</v>
      </c>
      <c r="C13" s="44"/>
      <c r="D13" s="44"/>
      <c r="E13" s="44"/>
      <c r="F13" s="44"/>
      <c r="G13" s="44"/>
    </row>
    <row r="14" spans="2:7">
      <c r="B14" s="32" t="s">
        <v>45</v>
      </c>
      <c r="C14" s="32" t="s">
        <v>46</v>
      </c>
      <c r="D14" s="32" t="s">
        <v>47</v>
      </c>
      <c r="E14" s="32" t="s">
        <v>48</v>
      </c>
      <c r="F14" s="32" t="s">
        <v>49</v>
      </c>
      <c r="G14" s="32" t="s">
        <v>50</v>
      </c>
    </row>
    <row r="15" spans="2:7">
      <c r="B15" s="2" t="s">
        <v>51</v>
      </c>
      <c r="C15" s="2" t="s">
        <v>52</v>
      </c>
      <c r="D15" s="2" t="s">
        <v>53</v>
      </c>
      <c r="E15" s="2" t="s">
        <v>54</v>
      </c>
      <c r="F15" s="2" t="s">
        <v>55</v>
      </c>
      <c r="G15" s="2" t="s">
        <v>56</v>
      </c>
    </row>
    <row r="16" spans="2:7">
      <c r="B16" s="2" t="s">
        <v>51</v>
      </c>
      <c r="C16" s="2" t="s">
        <v>57</v>
      </c>
      <c r="D16" s="2" t="s">
        <v>58</v>
      </c>
      <c r="E16" s="2" t="s">
        <v>59</v>
      </c>
      <c r="F16" s="2" t="s">
        <v>55</v>
      </c>
      <c r="G16" s="2" t="s">
        <v>60</v>
      </c>
    </row>
    <row r="17" spans="2:7">
      <c r="B17" s="2" t="s">
        <v>61</v>
      </c>
      <c r="C17" s="2" t="s">
        <v>62</v>
      </c>
      <c r="D17" s="2" t="s">
        <v>63</v>
      </c>
      <c r="E17" s="2" t="s">
        <v>64</v>
      </c>
      <c r="F17" s="2" t="s">
        <v>65</v>
      </c>
      <c r="G17" s="2" t="s">
        <v>66</v>
      </c>
    </row>
    <row r="18" spans="2:7">
      <c r="B18" s="2" t="s">
        <v>67</v>
      </c>
      <c r="C18" s="2" t="s">
        <v>68</v>
      </c>
      <c r="D18" s="2" t="s">
        <v>69</v>
      </c>
      <c r="E18" s="2" t="s">
        <v>70</v>
      </c>
      <c r="F18" s="2" t="s">
        <v>71</v>
      </c>
      <c r="G18" s="2" t="s">
        <v>72</v>
      </c>
    </row>
    <row r="19" spans="2:7">
      <c r="B19" s="2" t="s">
        <v>73</v>
      </c>
      <c r="C19" s="2" t="s">
        <v>74</v>
      </c>
      <c r="D19" s="2" t="s">
        <v>75</v>
      </c>
      <c r="E19" s="2" t="s">
        <v>76</v>
      </c>
      <c r="F19" s="2" t="s">
        <v>77</v>
      </c>
      <c r="G19" s="2" t="s">
        <v>78</v>
      </c>
    </row>
    <row r="20" spans="2:7">
      <c r="B20" s="2" t="s">
        <v>79</v>
      </c>
      <c r="C20" s="2" t="s">
        <v>80</v>
      </c>
      <c r="D20" s="2" t="s">
        <v>81</v>
      </c>
      <c r="E20" s="2" t="s">
        <v>82</v>
      </c>
      <c r="F20" s="2" t="s">
        <v>83</v>
      </c>
      <c r="G20" s="2" t="s">
        <v>84</v>
      </c>
    </row>
    <row r="21" spans="2:7">
      <c r="B21" s="2" t="s">
        <v>85</v>
      </c>
      <c r="C21" s="2" t="s">
        <v>86</v>
      </c>
      <c r="D21" s="2" t="s">
        <v>87</v>
      </c>
      <c r="E21" s="2" t="s">
        <v>88</v>
      </c>
      <c r="F21" s="2" t="s">
        <v>89</v>
      </c>
      <c r="G21" s="2" t="s">
        <v>90</v>
      </c>
    </row>
  </sheetData>
  <sheetProtection algorithmName="SHA-512" hashValue="z8bkBomAaDsOVYGC4u8MMZWdb/cwyuxpWrQ1SX9Y0Gv6FuRjnO7oLd/02F7nru7wMFCkAlex7olgjkNls42Rcw==" saltValue="QuakVzF/AAW1M/96fy/RtQ==" spinCount="100000" sheet="1" objects="1" scenarios="1"/>
  <mergeCells count="10">
    <mergeCell ref="B2:G2"/>
    <mergeCell ref="B13:G13"/>
    <mergeCell ref="C6:E6"/>
    <mergeCell ref="C7:E7"/>
    <mergeCell ref="C8:E8"/>
    <mergeCell ref="C9:E9"/>
    <mergeCell ref="C10:E10"/>
    <mergeCell ref="C11:E11"/>
    <mergeCell ref="C5:E5"/>
    <mergeCell ref="B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A101"/>
  <sheetViews>
    <sheetView showGridLines="0" zoomScale="80" zoomScaleNormal="80" zoomScaleSheetLayoutView="100" workbookViewId="0">
      <selection activeCell="B2" sqref="A1:XFD1048576"/>
    </sheetView>
  </sheetViews>
  <sheetFormatPr defaultColWidth="8.75" defaultRowHeight="15"/>
  <cols>
    <col min="1" max="1" width="2.75" style="8" customWidth="1"/>
    <col min="2" max="2" width="17.75" style="8" bestFit="1" customWidth="1"/>
    <col min="3" max="5" width="7.25" style="8" bestFit="1" customWidth="1"/>
    <col min="6" max="6" width="26.625" style="8" bestFit="1" customWidth="1"/>
    <col min="7" max="16384" width="8.75" style="8"/>
  </cols>
  <sheetData>
    <row r="2" spans="2:27" ht="27.95" customHeight="1">
      <c r="B2" s="43" t="s">
        <v>279</v>
      </c>
      <c r="C2" s="43"/>
      <c r="D2" s="43"/>
      <c r="E2" s="43"/>
      <c r="F2" s="4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27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2:27">
      <c r="B4" s="32" t="s">
        <v>13</v>
      </c>
      <c r="C4" s="32" t="s">
        <v>91</v>
      </c>
      <c r="D4" s="32" t="s">
        <v>92</v>
      </c>
      <c r="E4" s="32" t="s">
        <v>93</v>
      </c>
      <c r="F4" s="32" t="s">
        <v>94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2:27">
      <c r="B5" s="2" t="s">
        <v>95</v>
      </c>
      <c r="C5" s="9">
        <v>2400</v>
      </c>
      <c r="D5" s="9">
        <v>3500</v>
      </c>
      <c r="E5" s="9">
        <v>4306.7039999999997</v>
      </c>
      <c r="F5" s="2" t="s">
        <v>96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2:27">
      <c r="B6" s="2" t="s">
        <v>97</v>
      </c>
      <c r="C6" s="9">
        <v>-1050</v>
      </c>
      <c r="D6" s="9">
        <v>-1550</v>
      </c>
      <c r="E6" s="9">
        <v>-1850</v>
      </c>
      <c r="F6" s="2" t="s">
        <v>98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2:27">
      <c r="B7" s="2" t="s">
        <v>99</v>
      </c>
      <c r="C7" s="10">
        <f>C5+C6</f>
        <v>1350</v>
      </c>
      <c r="D7" s="10">
        <f>D5+D6</f>
        <v>1950</v>
      </c>
      <c r="E7" s="10">
        <f>E5+E6</f>
        <v>2456.7039999999997</v>
      </c>
      <c r="F7" s="2" t="s">
        <v>98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2:27">
      <c r="B8" s="2" t="s">
        <v>100</v>
      </c>
      <c r="C8" s="9">
        <v>950</v>
      </c>
      <c r="D8" s="9">
        <v>1380</v>
      </c>
      <c r="E8" s="9">
        <v>1981.3489999999999</v>
      </c>
      <c r="F8" s="2" t="s">
        <v>96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2:27">
      <c r="B9" s="2" t="s">
        <v>101</v>
      </c>
      <c r="C9" s="9">
        <v>780</v>
      </c>
      <c r="D9" s="9">
        <v>1130</v>
      </c>
      <c r="E9" s="9">
        <v>1700</v>
      </c>
      <c r="F9" s="2" t="s">
        <v>98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2:27">
      <c r="B10" s="2" t="s">
        <v>102</v>
      </c>
      <c r="C10" s="9">
        <v>-110</v>
      </c>
      <c r="D10" s="9">
        <v>-160</v>
      </c>
      <c r="E10" s="9">
        <v>-210</v>
      </c>
      <c r="F10" s="2" t="s">
        <v>98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2:27">
      <c r="B11" s="2" t="s">
        <v>103</v>
      </c>
      <c r="C11" s="9">
        <v>670</v>
      </c>
      <c r="D11" s="9">
        <v>970</v>
      </c>
      <c r="E11" s="9">
        <v>1490</v>
      </c>
      <c r="F11" s="2" t="s">
        <v>98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2:27">
      <c r="B12" s="2" t="s">
        <v>104</v>
      </c>
      <c r="C12" s="9">
        <v>-235</v>
      </c>
      <c r="D12" s="9">
        <v>-340</v>
      </c>
      <c r="E12" s="9">
        <v>-520</v>
      </c>
      <c r="F12" s="2" t="s">
        <v>98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2:27">
      <c r="B13" s="2" t="s">
        <v>105</v>
      </c>
      <c r="C13" s="9">
        <v>435</v>
      </c>
      <c r="D13" s="9">
        <v>630</v>
      </c>
      <c r="E13" s="9">
        <v>970</v>
      </c>
      <c r="F13" s="2" t="s">
        <v>98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2:27">
      <c r="B14" s="2" t="s">
        <v>106</v>
      </c>
      <c r="C14" s="9">
        <v>4800</v>
      </c>
      <c r="D14" s="9">
        <v>6100</v>
      </c>
      <c r="E14" s="9">
        <v>7500</v>
      </c>
      <c r="F14" s="2" t="s">
        <v>98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2:27">
      <c r="B15" s="2" t="s">
        <v>107</v>
      </c>
      <c r="C15" s="9">
        <v>2500</v>
      </c>
      <c r="D15" s="9">
        <v>3050</v>
      </c>
      <c r="E15" s="9">
        <v>3800</v>
      </c>
      <c r="F15" s="2" t="s">
        <v>98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2:27">
      <c r="B16" s="2" t="s">
        <v>108</v>
      </c>
      <c r="C16" s="9">
        <v>900</v>
      </c>
      <c r="D16" s="9">
        <v>1150</v>
      </c>
      <c r="E16" s="9">
        <v>1400</v>
      </c>
      <c r="F16" s="2" t="s">
        <v>98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2:27">
      <c r="B17" s="2" t="s">
        <v>109</v>
      </c>
      <c r="C17" s="10">
        <f>C15-C16</f>
        <v>1600</v>
      </c>
      <c r="D17" s="10">
        <f>D15-D16</f>
        <v>1900</v>
      </c>
      <c r="E17" s="10">
        <f>E15-E16</f>
        <v>2400</v>
      </c>
      <c r="F17" s="2" t="s">
        <v>98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2:27">
      <c r="B18" s="2" t="s">
        <v>110</v>
      </c>
      <c r="C18" s="9"/>
      <c r="D18" s="9"/>
      <c r="E18" s="9"/>
      <c r="F18" s="2" t="s">
        <v>98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2:27">
      <c r="B19" s="2" t="s">
        <v>111</v>
      </c>
      <c r="C19" s="9">
        <v>700</v>
      </c>
      <c r="D19" s="9">
        <v>1030</v>
      </c>
      <c r="E19" s="9">
        <v>1450</v>
      </c>
      <c r="F19" s="2" t="s">
        <v>98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2:27">
      <c r="B20" s="2" t="s">
        <v>112</v>
      </c>
      <c r="C20" s="9">
        <v>-380</v>
      </c>
      <c r="D20" s="9">
        <v>-480</v>
      </c>
      <c r="E20" s="9">
        <v>-620</v>
      </c>
      <c r="F20" s="2" t="s">
        <v>98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2:27">
      <c r="B21" s="2" t="s">
        <v>113</v>
      </c>
      <c r="C21" s="10">
        <f>C19+C20</f>
        <v>320</v>
      </c>
      <c r="D21" s="10">
        <f>D19+D20</f>
        <v>550</v>
      </c>
      <c r="E21" s="10">
        <f>E19+E20</f>
        <v>830</v>
      </c>
      <c r="F21" s="2" t="s">
        <v>98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2:27">
      <c r="B22" s="2" t="s">
        <v>114</v>
      </c>
      <c r="C22" s="9">
        <v>17.04</v>
      </c>
      <c r="D22" s="9">
        <v>17.04</v>
      </c>
      <c r="E22" s="9">
        <v>17.04</v>
      </c>
      <c r="F22" s="2" t="s">
        <v>98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2:27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2:27">
      <c r="B24" s="44" t="s">
        <v>280</v>
      </c>
      <c r="C24" s="44"/>
      <c r="D24" s="44"/>
      <c r="E24" s="44"/>
      <c r="F24" s="44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2:27">
      <c r="B25" s="32" t="s">
        <v>115</v>
      </c>
      <c r="C25" s="32" t="s">
        <v>91</v>
      </c>
      <c r="D25" s="32" t="s">
        <v>92</v>
      </c>
      <c r="E25" s="32" t="s">
        <v>93</v>
      </c>
      <c r="F25" s="32" t="s">
        <v>116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2:27">
      <c r="B26" s="2" t="s">
        <v>55</v>
      </c>
      <c r="C26" s="12" t="e">
        <f>NA()</f>
        <v>#N/A</v>
      </c>
      <c r="D26" s="12">
        <f>D5/C5-1</f>
        <v>0.45833333333333326</v>
      </c>
      <c r="E26" s="12">
        <f>E5/D5-1</f>
        <v>0.2304868571428571</v>
      </c>
      <c r="F26" s="2" t="s">
        <v>117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2:27">
      <c r="B27" s="2" t="s">
        <v>118</v>
      </c>
      <c r="C27" s="12">
        <f>C7/C5</f>
        <v>0.5625</v>
      </c>
      <c r="D27" s="12">
        <f>D7/D5</f>
        <v>0.55714285714285716</v>
      </c>
      <c r="E27" s="12">
        <f>E7/E5</f>
        <v>0.57043716029706237</v>
      </c>
      <c r="F27" s="2" t="s">
        <v>119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2:27">
      <c r="B28" s="2" t="s">
        <v>65</v>
      </c>
      <c r="C28" s="12">
        <f>C8/C5</f>
        <v>0.39583333333333331</v>
      </c>
      <c r="D28" s="12">
        <f>D8/D5</f>
        <v>0.39428571428571429</v>
      </c>
      <c r="E28" s="12">
        <f>E8/E5</f>
        <v>0.46006156912571655</v>
      </c>
      <c r="F28" s="2" t="s">
        <v>120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2:27">
      <c r="B29" s="2" t="s">
        <v>121</v>
      </c>
      <c r="C29" s="12">
        <f>C13/C5</f>
        <v>0.18124999999999999</v>
      </c>
      <c r="D29" s="12">
        <f>D13/D5</f>
        <v>0.18</v>
      </c>
      <c r="E29" s="12">
        <f>E13/E5</f>
        <v>0.22523024568208078</v>
      </c>
      <c r="F29" s="2" t="s">
        <v>122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2:27">
      <c r="B30" s="2" t="s">
        <v>123</v>
      </c>
      <c r="C30" s="12">
        <f>C13/C14</f>
        <v>9.0624999999999997E-2</v>
      </c>
      <c r="D30" s="12">
        <f>D13/D14</f>
        <v>0.10327868852459017</v>
      </c>
      <c r="E30" s="12">
        <f>E13/E14</f>
        <v>0.12933333333333333</v>
      </c>
      <c r="F30" s="2" t="s">
        <v>124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2:27">
      <c r="B31" s="2" t="s">
        <v>125</v>
      </c>
      <c r="C31" s="12">
        <f>C13/C15</f>
        <v>0.17399999999999999</v>
      </c>
      <c r="D31" s="12">
        <f>D13/D15</f>
        <v>0.20655737704918034</v>
      </c>
      <c r="E31" s="12">
        <f>E13/E15</f>
        <v>0.25526315789473686</v>
      </c>
      <c r="F31" s="2" t="s">
        <v>126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2:27">
      <c r="B32" s="2" t="s">
        <v>127</v>
      </c>
      <c r="C32" s="12">
        <f>C16/C15</f>
        <v>0.36</v>
      </c>
      <c r="D32" s="12">
        <f>D16/D15</f>
        <v>0.37704918032786883</v>
      </c>
      <c r="E32" s="12">
        <f>E16/E15</f>
        <v>0.36842105263157893</v>
      </c>
      <c r="F32" s="2" t="s">
        <v>128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>
      <c r="B33" s="2" t="s">
        <v>129</v>
      </c>
      <c r="C33" s="11">
        <f>C9/ABS(C10)</f>
        <v>7.0909090909090908</v>
      </c>
      <c r="D33" s="11">
        <f>D9/ABS(D10)</f>
        <v>7.0625</v>
      </c>
      <c r="E33" s="11">
        <f>E9/ABS(E10)</f>
        <v>8.0952380952380949</v>
      </c>
      <c r="F33" s="2" t="s">
        <v>130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2:27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2:27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2:27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2:27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2:27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2:27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2:27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2:27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2:27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2:27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2:27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2:27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2:27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2:27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2:27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2:27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2:27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2:27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2:27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2:27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2:27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2:27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2:27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2:27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2:27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2:27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2:27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2:27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2:27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2:27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2:27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2:27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2:27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2:27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2:27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2:27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2:27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2:27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2:27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2:27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2:27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2:27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2:27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2:27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2:27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2:27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2:27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2:27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2:27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2:27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2:27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2:27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2:27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2:27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2:27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2:27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2:27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</sheetData>
  <sheetProtection algorithmName="SHA-512" hashValue="Q3+yidFQMkIZZIVLrybvPgUHsuBOj4IBCAL/090aoybwouSiqn38TTLCD1r++QWk7nUMXmKXP7TXnLkahxwbfA==" saltValue="w8nf75dB1HR0vY/ABDgHRg==" spinCount="100000" sheet="1" objects="1" scenarios="1"/>
  <mergeCells count="2">
    <mergeCell ref="B2:F2"/>
    <mergeCell ref="B24:F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23"/>
  <sheetViews>
    <sheetView showGridLines="0" zoomScale="80" zoomScaleNormal="80" zoomScaleSheetLayoutView="100" workbookViewId="0">
      <selection activeCell="B2" sqref="A1:XFD1048576"/>
    </sheetView>
  </sheetViews>
  <sheetFormatPr defaultColWidth="8.75" defaultRowHeight="15"/>
  <cols>
    <col min="1" max="1" width="2.75" style="4" customWidth="1"/>
    <col min="2" max="2" width="29" style="4" customWidth="1"/>
    <col min="3" max="4" width="16.75" style="4" customWidth="1"/>
    <col min="5" max="5" width="18.25" style="4" customWidth="1"/>
    <col min="6" max="7" width="16.75" style="4" customWidth="1"/>
    <col min="8" max="8" width="40" style="4" customWidth="1"/>
    <col min="9" max="16384" width="8.75" style="4"/>
  </cols>
  <sheetData>
    <row r="2" spans="2:8" ht="21">
      <c r="B2" s="43" t="s">
        <v>281</v>
      </c>
      <c r="C2" s="43"/>
      <c r="D2" s="43"/>
      <c r="E2" s="43"/>
      <c r="F2" s="43"/>
      <c r="G2" s="43"/>
      <c r="H2" s="43"/>
    </row>
    <row r="4" spans="2:8">
      <c r="B4" s="31" t="s">
        <v>131</v>
      </c>
      <c r="C4" s="31" t="s">
        <v>132</v>
      </c>
      <c r="D4" s="31" t="s">
        <v>133</v>
      </c>
      <c r="E4" s="31" t="s">
        <v>134</v>
      </c>
      <c r="F4" s="31" t="s">
        <v>135</v>
      </c>
      <c r="G4" s="31" t="s">
        <v>136</v>
      </c>
      <c r="H4" s="31" t="s">
        <v>137</v>
      </c>
    </row>
    <row r="5" spans="2:8">
      <c r="B5" s="13" t="s">
        <v>55</v>
      </c>
      <c r="C5" s="14">
        <v>0.15</v>
      </c>
      <c r="D5" s="14">
        <v>0.13</v>
      </c>
      <c r="E5" s="14">
        <v>0.11</v>
      </c>
      <c r="F5" s="14">
        <v>0.1</v>
      </c>
      <c r="G5" s="14">
        <v>0.09</v>
      </c>
      <c r="H5" s="13" t="s">
        <v>138</v>
      </c>
    </row>
    <row r="6" spans="2:8">
      <c r="B6" s="13" t="s">
        <v>65</v>
      </c>
      <c r="C6" s="14">
        <v>0.44</v>
      </c>
      <c r="D6" s="14">
        <v>0.43</v>
      </c>
      <c r="E6" s="14">
        <v>0.42</v>
      </c>
      <c r="F6" s="14">
        <v>0.42</v>
      </c>
      <c r="G6" s="14">
        <v>0.41</v>
      </c>
      <c r="H6" s="13" t="s">
        <v>139</v>
      </c>
    </row>
    <row r="7" spans="2:8">
      <c r="B7" s="13" t="s">
        <v>140</v>
      </c>
      <c r="C7" s="14">
        <v>5.5E-2</v>
      </c>
      <c r="D7" s="14">
        <v>5.5E-2</v>
      </c>
      <c r="E7" s="14">
        <v>5.3999999999999999E-2</v>
      </c>
      <c r="F7" s="14">
        <v>5.2999999999999999E-2</v>
      </c>
      <c r="G7" s="14">
        <v>5.1999999999999998E-2</v>
      </c>
      <c r="H7" s="13" t="s">
        <v>141</v>
      </c>
    </row>
    <row r="8" spans="2:8">
      <c r="B8" s="13" t="s">
        <v>142</v>
      </c>
      <c r="C8" s="14">
        <v>0.34</v>
      </c>
      <c r="D8" s="14">
        <v>0.34</v>
      </c>
      <c r="E8" s="14">
        <v>0.34</v>
      </c>
      <c r="F8" s="14">
        <v>0.34</v>
      </c>
      <c r="G8" s="14">
        <v>0.34</v>
      </c>
      <c r="H8" s="13" t="s">
        <v>143</v>
      </c>
    </row>
    <row r="9" spans="2:8">
      <c r="B9" s="13" t="s">
        <v>144</v>
      </c>
      <c r="C9" s="14">
        <v>0.13</v>
      </c>
      <c r="D9" s="14">
        <v>0.12</v>
      </c>
      <c r="E9" s="14">
        <v>0.11</v>
      </c>
      <c r="F9" s="14">
        <v>0.1</v>
      </c>
      <c r="G9" s="14">
        <v>0.09</v>
      </c>
      <c r="H9" s="13" t="s">
        <v>145</v>
      </c>
    </row>
    <row r="10" spans="2:8">
      <c r="B10" s="13" t="s">
        <v>146</v>
      </c>
      <c r="C10" s="14">
        <v>7.0000000000000007E-2</v>
      </c>
      <c r="D10" s="14">
        <v>7.0000000000000007E-2</v>
      </c>
      <c r="E10" s="14">
        <v>7.0000000000000007E-2</v>
      </c>
      <c r="F10" s="14">
        <v>7.0000000000000007E-2</v>
      </c>
      <c r="G10" s="14">
        <v>7.0000000000000007E-2</v>
      </c>
      <c r="H10" s="13" t="s">
        <v>147</v>
      </c>
    </row>
    <row r="12" spans="2:8">
      <c r="B12" s="48" t="s">
        <v>282</v>
      </c>
      <c r="C12" s="49"/>
      <c r="D12" s="49"/>
      <c r="E12" s="50"/>
      <c r="F12" s="17"/>
      <c r="G12" s="17"/>
      <c r="H12" s="17"/>
    </row>
    <row r="13" spans="2:8">
      <c r="B13" s="13" t="s">
        <v>148</v>
      </c>
      <c r="C13" s="14">
        <v>0.16</v>
      </c>
      <c r="D13" s="47" t="s">
        <v>149</v>
      </c>
      <c r="E13" s="47"/>
    </row>
    <row r="14" spans="2:8">
      <c r="B14" s="13" t="s">
        <v>150</v>
      </c>
      <c r="C14" s="14">
        <v>0.06</v>
      </c>
      <c r="D14" s="47" t="s">
        <v>151</v>
      </c>
      <c r="E14" s="47"/>
    </row>
    <row r="15" spans="2:8">
      <c r="B15" s="13" t="s">
        <v>152</v>
      </c>
      <c r="C15" s="14">
        <v>0.9</v>
      </c>
      <c r="D15" s="47" t="s">
        <v>153</v>
      </c>
      <c r="E15" s="47"/>
    </row>
    <row r="16" spans="2:8">
      <c r="B16" s="13" t="s">
        <v>154</v>
      </c>
      <c r="C16" s="14">
        <v>0.19</v>
      </c>
      <c r="D16" s="47" t="s">
        <v>155</v>
      </c>
      <c r="E16" s="47"/>
    </row>
    <row r="17" spans="2:5">
      <c r="B17" s="13" t="s">
        <v>156</v>
      </c>
      <c r="C17" s="14">
        <v>0.2</v>
      </c>
      <c r="D17" s="47" t="s">
        <v>157</v>
      </c>
      <c r="E17" s="47"/>
    </row>
    <row r="18" spans="2:5">
      <c r="B18" s="13" t="s">
        <v>158</v>
      </c>
      <c r="C18" s="14">
        <v>0.8</v>
      </c>
      <c r="D18" s="47" t="s">
        <v>157</v>
      </c>
      <c r="E18" s="47"/>
    </row>
    <row r="19" spans="2:5">
      <c r="B19" s="13" t="s">
        <v>159</v>
      </c>
      <c r="C19" s="14">
        <v>0.06</v>
      </c>
      <c r="D19" s="47" t="s">
        <v>160</v>
      </c>
      <c r="E19" s="47"/>
    </row>
    <row r="20" spans="2:5">
      <c r="B20" s="13" t="s">
        <v>161</v>
      </c>
      <c r="C20" s="15">
        <v>1066.7</v>
      </c>
      <c r="D20" s="47" t="s">
        <v>162</v>
      </c>
      <c r="E20" s="47"/>
    </row>
    <row r="21" spans="2:5">
      <c r="B21" s="13" t="s">
        <v>114</v>
      </c>
      <c r="C21" s="16">
        <v>17.04</v>
      </c>
      <c r="D21" s="47" t="s">
        <v>163</v>
      </c>
      <c r="E21" s="47"/>
    </row>
    <row r="22" spans="2:5">
      <c r="B22" s="13" t="s">
        <v>164</v>
      </c>
      <c r="C22" s="16">
        <v>1400</v>
      </c>
      <c r="D22" s="47" t="s">
        <v>165</v>
      </c>
      <c r="E22" s="47"/>
    </row>
    <row r="23" spans="2:5">
      <c r="B23" s="13" t="s">
        <v>166</v>
      </c>
      <c r="C23" s="16">
        <v>450</v>
      </c>
      <c r="D23" s="47" t="s">
        <v>165</v>
      </c>
      <c r="E23" s="47"/>
    </row>
  </sheetData>
  <sheetProtection algorithmName="SHA-512" hashValue="WoTSikuXW7nAf2lDMzQ+QBNRHN46G+W9eUrlQYjp9kTMt0ZF5eO5WARobu079vPlLj7df2ZJ+CE3ShiK442huw==" saltValue="Oeb9C92TDFifKCGF37y+Ew==" spinCount="100000" sheet="1" objects="1" scenarios="1"/>
  <mergeCells count="13">
    <mergeCell ref="D22:E22"/>
    <mergeCell ref="D23:E23"/>
    <mergeCell ref="B12:E12"/>
    <mergeCell ref="D16:E16"/>
    <mergeCell ref="D17:E17"/>
    <mergeCell ref="D18:E18"/>
    <mergeCell ref="D19:E19"/>
    <mergeCell ref="D20:E20"/>
    <mergeCell ref="B2:H2"/>
    <mergeCell ref="D13:E13"/>
    <mergeCell ref="D14:E14"/>
    <mergeCell ref="D15:E15"/>
    <mergeCell ref="D21:E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16"/>
  <sheetViews>
    <sheetView showGridLines="0" zoomScale="80" zoomScaleNormal="80" zoomScaleSheetLayoutView="100" workbookViewId="0">
      <selection activeCell="I21" sqref="A1:XFD1048576"/>
    </sheetView>
  </sheetViews>
  <sheetFormatPr defaultColWidth="8.75" defaultRowHeight="15"/>
  <cols>
    <col min="1" max="1" width="2.75" style="4" customWidth="1"/>
    <col min="2" max="2" width="18.875" style="4" bestFit="1" customWidth="1"/>
    <col min="3" max="7" width="10.75" style="4" customWidth="1"/>
    <col min="8" max="16384" width="8.75" style="4"/>
  </cols>
  <sheetData>
    <row r="2" spans="2:7" ht="21">
      <c r="B2" s="43" t="s">
        <v>283</v>
      </c>
      <c r="C2" s="43"/>
      <c r="D2" s="43"/>
      <c r="E2" s="43"/>
      <c r="F2" s="43"/>
      <c r="G2" s="43"/>
    </row>
    <row r="4" spans="2:7">
      <c r="B4" s="31" t="s">
        <v>13</v>
      </c>
      <c r="C4" s="31" t="s">
        <v>132</v>
      </c>
      <c r="D4" s="31" t="s">
        <v>133</v>
      </c>
      <c r="E4" s="31" t="s">
        <v>134</v>
      </c>
      <c r="F4" s="31" t="s">
        <v>135</v>
      </c>
      <c r="G4" s="31" t="s">
        <v>136</v>
      </c>
    </row>
    <row r="5" spans="2:7">
      <c r="B5" s="13" t="s">
        <v>95</v>
      </c>
      <c r="C5" s="19">
        <f>'Historical Financials'!E5*(1+'Forecast Assumptions'!C5)</f>
        <v>4952.7095999999992</v>
      </c>
      <c r="D5" s="19">
        <f>C5*(1+'Forecast Assumptions'!D5)</f>
        <v>5596.5618479999985</v>
      </c>
      <c r="E5" s="19">
        <f>D5*(1+'Forecast Assumptions'!E5)</f>
        <v>6212.1836512799991</v>
      </c>
      <c r="F5" s="19">
        <f>E5*(1+'Forecast Assumptions'!F5)</f>
        <v>6833.4020164079993</v>
      </c>
      <c r="G5" s="19">
        <f>F5*(1+'Forecast Assumptions'!G5)</f>
        <v>7448.4081978847198</v>
      </c>
    </row>
    <row r="6" spans="2:7">
      <c r="B6" s="13" t="s">
        <v>167</v>
      </c>
      <c r="C6" s="20">
        <f>'Forecast Assumptions'!C5</f>
        <v>0.15</v>
      </c>
      <c r="D6" s="20">
        <f>'Forecast Assumptions'!D5</f>
        <v>0.13</v>
      </c>
      <c r="E6" s="20">
        <f>'Forecast Assumptions'!E5</f>
        <v>0.11</v>
      </c>
      <c r="F6" s="20">
        <f>'Forecast Assumptions'!F5</f>
        <v>0.1</v>
      </c>
      <c r="G6" s="20">
        <f>'Forecast Assumptions'!G5</f>
        <v>0.09</v>
      </c>
    </row>
    <row r="7" spans="2:7">
      <c r="B7" s="13" t="s">
        <v>100</v>
      </c>
      <c r="C7" s="19">
        <f>C5*'Forecast Assumptions'!C6</f>
        <v>2179.1922239999999</v>
      </c>
      <c r="D7" s="19">
        <f>D5*'Forecast Assumptions'!D6</f>
        <v>2406.5215946399994</v>
      </c>
      <c r="E7" s="19">
        <f>E5*'Forecast Assumptions'!E6</f>
        <v>2609.1171335375993</v>
      </c>
      <c r="F7" s="19">
        <f>F5*'Forecast Assumptions'!F6</f>
        <v>2870.0288468913595</v>
      </c>
      <c r="G7" s="19">
        <f>G5*'Forecast Assumptions'!G6</f>
        <v>3053.8473611327349</v>
      </c>
    </row>
    <row r="8" spans="2:7">
      <c r="B8" s="13" t="s">
        <v>65</v>
      </c>
      <c r="C8" s="20">
        <f>'Forecast Assumptions'!C6</f>
        <v>0.44</v>
      </c>
      <c r="D8" s="20">
        <f>'Forecast Assumptions'!D6</f>
        <v>0.43</v>
      </c>
      <c r="E8" s="20">
        <f>'Forecast Assumptions'!E6</f>
        <v>0.42</v>
      </c>
      <c r="F8" s="20">
        <f>'Forecast Assumptions'!F6</f>
        <v>0.42</v>
      </c>
      <c r="G8" s="20">
        <f>'Forecast Assumptions'!G6</f>
        <v>0.41</v>
      </c>
    </row>
    <row r="9" spans="2:7">
      <c r="B9" s="13" t="s">
        <v>168</v>
      </c>
      <c r="C9" s="19">
        <f>-C5*'Forecast Assumptions'!C7</f>
        <v>-272.39902799999999</v>
      </c>
      <c r="D9" s="19">
        <f>-D5*'Forecast Assumptions'!D7</f>
        <v>-307.81090163999994</v>
      </c>
      <c r="E9" s="19">
        <f>-E5*'Forecast Assumptions'!E7</f>
        <v>-335.45791716911992</v>
      </c>
      <c r="F9" s="19">
        <f>-F5*'Forecast Assumptions'!F7</f>
        <v>-362.17030686962397</v>
      </c>
      <c r="G9" s="19">
        <f>-G5*'Forecast Assumptions'!G7</f>
        <v>-387.31722629000541</v>
      </c>
    </row>
    <row r="10" spans="2:7">
      <c r="B10" s="13" t="s">
        <v>101</v>
      </c>
      <c r="C10" s="19">
        <f>C7+C9</f>
        <v>1906.7931959999999</v>
      </c>
      <c r="D10" s="19">
        <f>D7+D9</f>
        <v>2098.7106929999995</v>
      </c>
      <c r="E10" s="19">
        <f>E7+E9</f>
        <v>2273.6592163684795</v>
      </c>
      <c r="F10" s="19">
        <f>F7+F9</f>
        <v>2507.8585400217357</v>
      </c>
      <c r="G10" s="19">
        <f>G7+G9</f>
        <v>2666.5301348427297</v>
      </c>
    </row>
    <row r="11" spans="2:7">
      <c r="B11" s="13" t="s">
        <v>169</v>
      </c>
      <c r="C11" s="19">
        <f>-C10*'Forecast Assumptions'!C8</f>
        <v>-648.30968664</v>
      </c>
      <c r="D11" s="19">
        <f>-D10*'Forecast Assumptions'!D8</f>
        <v>-713.56163561999995</v>
      </c>
      <c r="E11" s="19">
        <f>-E10*'Forecast Assumptions'!E8</f>
        <v>-773.04413356528312</v>
      </c>
      <c r="F11" s="19">
        <f>-F10*'Forecast Assumptions'!F8</f>
        <v>-852.67190360739016</v>
      </c>
      <c r="G11" s="19">
        <f>-G10*'Forecast Assumptions'!G8</f>
        <v>-906.62024584652818</v>
      </c>
    </row>
    <row r="12" spans="2:7">
      <c r="B12" s="13" t="s">
        <v>170</v>
      </c>
      <c r="C12" s="19">
        <f>C10+C11</f>
        <v>1258.48350936</v>
      </c>
      <c r="D12" s="19">
        <f>D10+D11</f>
        <v>1385.1490573799997</v>
      </c>
      <c r="E12" s="19">
        <f>E10+E11</f>
        <v>1500.6150828031964</v>
      </c>
      <c r="F12" s="19">
        <f>F10+F11</f>
        <v>1655.1866364143457</v>
      </c>
      <c r="G12" s="19">
        <f>G10+G11</f>
        <v>1759.9098889962015</v>
      </c>
    </row>
    <row r="13" spans="2:7">
      <c r="B13" s="13" t="s">
        <v>171</v>
      </c>
      <c r="C13" s="19">
        <f>C5*'Forecast Assumptions'!C10</f>
        <v>346.68967199999997</v>
      </c>
      <c r="D13" s="19">
        <f>D5*'Forecast Assumptions'!D10</f>
        <v>391.75932935999992</v>
      </c>
      <c r="E13" s="19">
        <f>E5*'Forecast Assumptions'!E10</f>
        <v>434.85285558959998</v>
      </c>
      <c r="F13" s="19">
        <f>F5*'Forecast Assumptions'!F10</f>
        <v>478.33814114856</v>
      </c>
      <c r="G13" s="19">
        <f>G5*'Forecast Assumptions'!G10</f>
        <v>521.38857385193046</v>
      </c>
    </row>
    <row r="14" spans="2:7">
      <c r="B14" s="13" t="s">
        <v>172</v>
      </c>
      <c r="C14" s="19">
        <f>-(C13-'Historical Financials'!E5*'Forecast Assumptions'!C10)</f>
        <v>-45.220391999999947</v>
      </c>
      <c r="D14" s="19">
        <f>-(D13-C13)</f>
        <v>-45.069657359999951</v>
      </c>
      <c r="E14" s="19">
        <f>-(E13-D13)</f>
        <v>-43.093526229600059</v>
      </c>
      <c r="F14" s="19">
        <f>-(F13-E13)</f>
        <v>-43.485285558960015</v>
      </c>
      <c r="G14" s="19">
        <f>-(G13-F13)</f>
        <v>-43.050432703370461</v>
      </c>
    </row>
    <row r="15" spans="2:7">
      <c r="B15" s="13" t="s">
        <v>112</v>
      </c>
      <c r="C15" s="19">
        <f>-C5*'Forecast Assumptions'!C9</f>
        <v>-643.85224799999992</v>
      </c>
      <c r="D15" s="19">
        <f>-D5*'Forecast Assumptions'!D9</f>
        <v>-671.58742175999976</v>
      </c>
      <c r="E15" s="19">
        <f>-E5*'Forecast Assumptions'!E9</f>
        <v>-683.34020164079993</v>
      </c>
      <c r="F15" s="19">
        <f>-F5*'Forecast Assumptions'!F9</f>
        <v>-683.34020164079993</v>
      </c>
      <c r="G15" s="19">
        <f>-G5*'Forecast Assumptions'!G9</f>
        <v>-670.35673780962475</v>
      </c>
    </row>
    <row r="16" spans="2:7">
      <c r="B16" s="13" t="s">
        <v>173</v>
      </c>
      <c r="C16" s="19">
        <f>C12-C9+C14+C15</f>
        <v>841.80989736000015</v>
      </c>
      <c r="D16" s="19">
        <f>D12-D9+D14+D15</f>
        <v>976.30287989999999</v>
      </c>
      <c r="E16" s="19">
        <f>E12-E9+E14+E15</f>
        <v>1109.6392721019163</v>
      </c>
      <c r="F16" s="19">
        <f>F12-F9+F14+F15</f>
        <v>1290.5314560842098</v>
      </c>
      <c r="G16" s="19">
        <f>G12-G9+G14+G15</f>
        <v>1433.8199447732115</v>
      </c>
    </row>
  </sheetData>
  <sheetProtection algorithmName="SHA-512" hashValue="hJeYYLXh1Zf0lmZ/QCblLwlfpPQzrgNHDv4Hh69rup0MT+kYDnwYCfBBz2Va3VybLe9o6MeLUE41K6/F75EYHg==" saltValue="NjvO5pe59CKTB5/skPlLTg==" spinCount="100000" sheet="1" objects="1" scenarios="1"/>
  <mergeCells count="1">
    <mergeCell ref="B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34"/>
  <sheetViews>
    <sheetView showGridLines="0" zoomScale="80" zoomScaleNormal="80" zoomScaleSheetLayoutView="100" workbookViewId="0">
      <selection activeCell="J15" sqref="A1:XFD1048576"/>
    </sheetView>
  </sheetViews>
  <sheetFormatPr defaultColWidth="8.75" defaultRowHeight="15"/>
  <cols>
    <col min="1" max="1" width="2.75" style="4" customWidth="1"/>
    <col min="2" max="2" width="17.75" style="4" bestFit="1" customWidth="1"/>
    <col min="3" max="3" width="9.25" style="4" bestFit="1" customWidth="1"/>
    <col min="4" max="4" width="22.5" style="4" bestFit="1" customWidth="1"/>
    <col min="5" max="7" width="7.75" style="4" bestFit="1" customWidth="1"/>
    <col min="8" max="8" width="8" style="4" bestFit="1" customWidth="1"/>
    <col min="9" max="16384" width="8.75" style="4"/>
  </cols>
  <sheetData>
    <row r="2" spans="2:8" ht="21">
      <c r="B2" s="43" t="s">
        <v>284</v>
      </c>
      <c r="C2" s="43"/>
      <c r="D2" s="43"/>
      <c r="E2" s="43"/>
      <c r="F2" s="43"/>
      <c r="G2" s="43"/>
      <c r="H2" s="43"/>
    </row>
    <row r="4" spans="2:8">
      <c r="B4" s="44" t="s">
        <v>287</v>
      </c>
      <c r="C4" s="44"/>
      <c r="D4" s="44"/>
      <c r="E4" s="21"/>
      <c r="F4" s="21"/>
      <c r="G4" s="21"/>
      <c r="H4" s="21"/>
    </row>
    <row r="5" spans="2:8">
      <c r="B5" s="32" t="s">
        <v>31</v>
      </c>
      <c r="C5" s="32" t="s">
        <v>174</v>
      </c>
      <c r="D5" s="32" t="s">
        <v>175</v>
      </c>
    </row>
    <row r="6" spans="2:8">
      <c r="B6" s="13" t="s">
        <v>176</v>
      </c>
      <c r="C6" s="20">
        <f>'Forecast Assumptions'!C13+'Forecast Assumptions'!C15*'Forecast Assumptions'!C14</f>
        <v>0.214</v>
      </c>
      <c r="D6" s="13" t="s">
        <v>177</v>
      </c>
    </row>
    <row r="7" spans="2:8">
      <c r="B7" s="13" t="s">
        <v>178</v>
      </c>
      <c r="C7" s="20">
        <f>'Forecast Assumptions'!C16*(1-'Forecast Assumptions'!C8)</f>
        <v>0.12539999999999998</v>
      </c>
      <c r="D7" s="13" t="s">
        <v>179</v>
      </c>
    </row>
    <row r="8" spans="2:8">
      <c r="B8" s="13" t="s">
        <v>180</v>
      </c>
      <c r="C8" s="20">
        <f>C6*'Forecast Assumptions'!C18+C7*'Forecast Assumptions'!C17</f>
        <v>0.19628000000000001</v>
      </c>
      <c r="D8" s="13" t="s">
        <v>181</v>
      </c>
    </row>
    <row r="10" spans="2:8">
      <c r="B10" s="44" t="s">
        <v>285</v>
      </c>
      <c r="C10" s="44"/>
      <c r="D10" s="44"/>
      <c r="E10" s="44"/>
      <c r="F10" s="44"/>
      <c r="G10" s="44"/>
      <c r="H10" s="44"/>
    </row>
    <row r="11" spans="2:8">
      <c r="B11" s="32" t="s">
        <v>182</v>
      </c>
      <c r="C11" s="32" t="s">
        <v>132</v>
      </c>
      <c r="D11" s="32" t="s">
        <v>133</v>
      </c>
      <c r="E11" s="32" t="s">
        <v>134</v>
      </c>
      <c r="F11" s="32" t="s">
        <v>135</v>
      </c>
      <c r="G11" s="32" t="s">
        <v>136</v>
      </c>
      <c r="H11" s="32" t="s">
        <v>183</v>
      </c>
    </row>
    <row r="12" spans="2:8">
      <c r="B12" s="13" t="s">
        <v>184</v>
      </c>
      <c r="C12" s="22">
        <f>'Financial Forecast'!C16</f>
        <v>841.80989736000015</v>
      </c>
      <c r="D12" s="22">
        <f>'Financial Forecast'!D16</f>
        <v>976.30287989999999</v>
      </c>
      <c r="E12" s="22">
        <f>'Financial Forecast'!E16</f>
        <v>1109.6392721019163</v>
      </c>
      <c r="F12" s="22">
        <f>'Financial Forecast'!F16</f>
        <v>1290.5314560842098</v>
      </c>
      <c r="G12" s="22">
        <f>'Financial Forecast'!G16</f>
        <v>1433.8199447732115</v>
      </c>
      <c r="H12" s="22">
        <f>G12*(1+'Forecast Assumptions'!C19)/($C$8-'Forecast Assumptions'!C19)</f>
        <v>11152.400509683037</v>
      </c>
    </row>
    <row r="13" spans="2:8">
      <c r="B13" s="13" t="s">
        <v>185</v>
      </c>
      <c r="C13" s="22">
        <v>1</v>
      </c>
      <c r="D13" s="22">
        <v>2</v>
      </c>
      <c r="E13" s="22">
        <v>3</v>
      </c>
      <c r="F13" s="22">
        <v>4</v>
      </c>
      <c r="G13" s="22">
        <v>5</v>
      </c>
      <c r="H13" s="22"/>
    </row>
    <row r="14" spans="2:8">
      <c r="B14" s="13" t="s">
        <v>186</v>
      </c>
      <c r="C14" s="23">
        <f>1/(1+$C$8)^C13</f>
        <v>0.83592469990303275</v>
      </c>
      <c r="D14" s="23">
        <f>1/(1+$C$8)^D13</f>
        <v>0.69877010390797534</v>
      </c>
      <c r="E14" s="23">
        <f>1/(1+$C$8)^E13</f>
        <v>0.58411918941048524</v>
      </c>
      <c r="F14" s="23">
        <f>1/(1+$C$8)^F13</f>
        <v>0.48827965811556262</v>
      </c>
      <c r="G14" s="23">
        <f>1/(1+$C$8)^G13</f>
        <v>0.40816502667900711</v>
      </c>
      <c r="H14" s="23">
        <f>G14</f>
        <v>0.40816502667900711</v>
      </c>
    </row>
    <row r="15" spans="2:8">
      <c r="B15" s="13" t="s">
        <v>187</v>
      </c>
      <c r="C15" s="22">
        <f t="shared" ref="C15:H15" si="0">C12*C14</f>
        <v>703.6896858260609</v>
      </c>
      <c r="D15" s="22">
        <f t="shared" si="0"/>
        <v>682.21126483337855</v>
      </c>
      <c r="E15" s="22">
        <f t="shared" si="0"/>
        <v>648.16159215821222</v>
      </c>
      <c r="F15" s="22">
        <f t="shared" si="0"/>
        <v>630.14025816417723</v>
      </c>
      <c r="G15" s="22">
        <f t="shared" si="0"/>
        <v>585.23515601125041</v>
      </c>
      <c r="H15" s="22">
        <f t="shared" si="0"/>
        <v>4552.0198515697493</v>
      </c>
    </row>
    <row r="17" spans="2:8">
      <c r="B17" s="51" t="s">
        <v>288</v>
      </c>
      <c r="C17" s="51"/>
      <c r="D17" s="28"/>
      <c r="E17" s="28"/>
      <c r="F17" s="28"/>
      <c r="G17" s="28"/>
      <c r="H17" s="28"/>
    </row>
    <row r="18" spans="2:8">
      <c r="B18" s="13" t="s">
        <v>188</v>
      </c>
      <c r="C18" s="22">
        <f>SUM(C15:H15)</f>
        <v>7801.4578085628282</v>
      </c>
    </row>
    <row r="19" spans="2:8">
      <c r="B19" s="13" t="s">
        <v>189</v>
      </c>
      <c r="C19" s="22">
        <f>-'Forecast Assumptions'!C22</f>
        <v>-1400</v>
      </c>
    </row>
    <row r="20" spans="2:8">
      <c r="B20" s="13" t="s">
        <v>190</v>
      </c>
      <c r="C20" s="22">
        <f>'Forecast Assumptions'!C23</f>
        <v>450</v>
      </c>
    </row>
    <row r="21" spans="2:8">
      <c r="B21" s="13" t="s">
        <v>191</v>
      </c>
      <c r="C21" s="22">
        <f>SUM(C18:C20)</f>
        <v>6851.4578085628282</v>
      </c>
    </row>
    <row r="22" spans="2:8">
      <c r="B22" s="13" t="s">
        <v>114</v>
      </c>
      <c r="C22" s="22">
        <f>'Forecast Assumptions'!C21</f>
        <v>17.04</v>
      </c>
    </row>
    <row r="23" spans="2:8">
      <c r="B23" s="13" t="s">
        <v>192</v>
      </c>
      <c r="C23" s="24">
        <f>C21/C22</f>
        <v>402.08085731002512</v>
      </c>
    </row>
    <row r="24" spans="2:8">
      <c r="B24" s="13" t="s">
        <v>161</v>
      </c>
      <c r="C24" s="24">
        <f>'Forecast Assumptions'!C20</f>
        <v>1066.7</v>
      </c>
    </row>
    <row r="25" spans="2:8">
      <c r="B25" s="13" t="s">
        <v>193</v>
      </c>
      <c r="C25" s="23">
        <f>C23/C24-1</f>
        <v>-0.62306097561636342</v>
      </c>
    </row>
    <row r="26" spans="2:8">
      <c r="B26" s="13" t="s">
        <v>194</v>
      </c>
      <c r="C26" s="29" t="str">
        <f>IF(C25&gt;15%,"BUY",IF(C25&lt;-15%,"SELL","HOLD"))</f>
        <v>SELL</v>
      </c>
    </row>
    <row r="28" spans="2:8">
      <c r="B28" s="51" t="s">
        <v>286</v>
      </c>
      <c r="C28" s="51"/>
      <c r="D28" s="51"/>
      <c r="E28" s="51"/>
      <c r="F28" s="51"/>
      <c r="G28" s="51"/>
      <c r="H28" s="27"/>
    </row>
    <row r="29" spans="2:8">
      <c r="B29" s="31" t="s">
        <v>195</v>
      </c>
      <c r="C29" s="34">
        <v>0.04</v>
      </c>
      <c r="D29" s="34">
        <v>0.05</v>
      </c>
      <c r="E29" s="34">
        <v>0.06</v>
      </c>
      <c r="F29" s="34">
        <v>7.0000000000000007E-2</v>
      </c>
      <c r="G29" s="34">
        <v>0.08</v>
      </c>
      <c r="H29" s="5"/>
    </row>
    <row r="30" spans="2:8">
      <c r="B30" s="26">
        <v>0.18</v>
      </c>
      <c r="C30" s="24">
        <f>(SUMPRODUCT($C$12:$G$12,1/(1+0.18)^$C$13:$G$13)+$G$12*(1+0.04)/(0.18-0.04)/(1+0.18)^5-'Forecast Assumptions'!C22+'Forecast Assumptions'!C23)/'Forecast Assumptions'!C21</f>
        <v>415.96564760926998</v>
      </c>
      <c r="D30" s="24">
        <f>(SUMPRODUCT($C$12:$G$12,1/(1+0.18)^$C$13:$G$13)+$G$12*(1+0.05)/(0.18-0.05)/(1+0.18)^5-'Forecast Assumptions'!C22+'Forecast Assumptions'!C23)/'Forecast Assumptions'!C21</f>
        <v>439.81220053209518</v>
      </c>
      <c r="E30" s="24">
        <f>(SUMPRODUCT($C$12:$G$12,1/(1+0.18)^$C$13:$G$13)+$G$12*(1+0.06)/(0.18-0.06)/(1+0.18)^5-'Forecast Assumptions'!C22+'Forecast Assumptions'!C23)/'Forecast Assumptions'!C21</f>
        <v>467.6331789420579</v>
      </c>
      <c r="F30" s="24">
        <f>(SUMPRODUCT($C$12:$G$12,1/(1+0.18)^$C$13:$G$13)+$G$12*(1+0.07)/(0.18-0.07)/(1+0.18)^5-'Forecast Assumptions'!C22+'Forecast Assumptions'!C23)/'Forecast Assumptions'!C21</f>
        <v>500.51251706292294</v>
      </c>
      <c r="G30" s="24">
        <f>(SUMPRODUCT($C$12:$G$12,1/(1+0.18)^$C$13:$G$13)+$G$12*(1+0.08)/(0.18-0.08)/(1+0.18)^5-'Forecast Assumptions'!C22+'Forecast Assumptions'!C23)/'Forecast Assumptions'!C21</f>
        <v>539.96772280796108</v>
      </c>
      <c r="H30" s="6"/>
    </row>
    <row r="31" spans="2:8">
      <c r="B31" s="26">
        <v>0.19</v>
      </c>
      <c r="C31" s="24">
        <f>(SUMPRODUCT($C$12:$G$12,1/(1+0.19)^$C$13:$G$13)+$G$12*(1+0.04)/(0.19-0.04)/(1+0.19)^5-'Forecast Assumptions'!C22+'Forecast Assumptions'!C23)/'Forecast Assumptions'!C21</f>
        <v>382.36701295482243</v>
      </c>
      <c r="D31" s="24">
        <f>(SUMPRODUCT($C$12:$G$12,1/(1+0.19)^$C$13:$G$13)+$G$12*(1+0.05)/(0.19-0.05)/(1+0.19)^5-'Forecast Assumptions'!C22+'Forecast Assumptions'!C23)/'Forecast Assumptions'!C21</f>
        <v>402.34804362785496</v>
      </c>
      <c r="E31" s="24">
        <f>(SUMPRODUCT($C$12:$G$12,1/(1+0.19)^$C$13:$G$13)+$G$12*(1+0.06)/(0.19-0.06)/(1+0.19)^5-'Forecast Assumptions'!C22+'Forecast Assumptions'!C23)/'Forecast Assumptions'!C21</f>
        <v>425.40307901981566</v>
      </c>
      <c r="F31" s="24">
        <f>(SUMPRODUCT($C$12:$G$12,1/(1+0.19)^$C$13:$G$13)+$G$12*(1+0.07)/(0.19-0.07)/(1+0.19)^5-'Forecast Assumptions'!C22+'Forecast Assumptions'!C23)/'Forecast Assumptions'!C21</f>
        <v>452.3006203104365</v>
      </c>
      <c r="G31" s="24">
        <f>(SUMPRODUCT($C$12:$G$12,1/(1+0.19)^$C$13:$G$13)+$G$12*(1+0.08)/(0.19-0.08)/(1+0.19)^5-'Forecast Assumptions'!C22+'Forecast Assumptions'!C23)/'Forecast Assumptions'!C21</f>
        <v>484.08862365389751</v>
      </c>
      <c r="H31" s="6"/>
    </row>
    <row r="32" spans="2:8">
      <c r="B32" s="26">
        <v>0.2</v>
      </c>
      <c r="C32" s="24">
        <f>(SUMPRODUCT($C$12:$G$12,1/(1+0.2)^$C$13:$G$13)+$G$12*(1+0.04)/(0.2-0.04)/(1+0.2)^5-'Forecast Assumptions'!C22+'Forecast Assumptions'!C23)/'Forecast Assumptions'!C21</f>
        <v>353.03181215124846</v>
      </c>
      <c r="D32" s="24">
        <f>(SUMPRODUCT($C$12:$G$12,1/(1+0.2)^$C$13:$G$13)+$G$12*(1+0.05)/(0.2-0.05)/(1+0.2)^5-'Forecast Assumptions'!C22+'Forecast Assumptions'!C23)/'Forecast Assumptions'!C21</f>
        <v>369.93967829309798</v>
      </c>
      <c r="E32" s="24">
        <f>(SUMPRODUCT($C$12:$G$12,1/(1+0.2)^$C$13:$G$13)+$G$12*(1+0.06)/(0.2-0.06)/(1+0.2)^5-'Forecast Assumptions'!C22+'Forecast Assumptions'!C23)/'Forecast Assumptions'!C21</f>
        <v>389.26295388378333</v>
      </c>
      <c r="F32" s="24">
        <f>(SUMPRODUCT($C$12:$G$12,1/(1+0.2)^$C$13:$G$13)+$G$12*(1+0.07)/(0.2-0.07)/(1+0.2)^5-'Forecast Assumptions'!C22+'Forecast Assumptions'!C23)/'Forecast Assumptions'!C21</f>
        <v>411.55904110380476</v>
      </c>
      <c r="G32" s="24">
        <f>(SUMPRODUCT($C$12:$G$12,1/(1+0.2)^$C$13:$G$13)+$G$12*(1+0.08)/(0.2-0.08)/(1+0.2)^5-'Forecast Assumptions'!C22+'Forecast Assumptions'!C23)/'Forecast Assumptions'!C21</f>
        <v>437.57114286049642</v>
      </c>
      <c r="H32" s="6"/>
    </row>
    <row r="33" spans="2:8">
      <c r="B33" s="26">
        <v>0.21</v>
      </c>
      <c r="C33" s="24">
        <f>(SUMPRODUCT($C$12:$G$12,1/(1+0.21)^$C$13:$G$13)+$G$12*(1+0.04)/(0.21-0.04)/(1+0.21)^5-'Forecast Assumptions'!C22+'Forecast Assumptions'!C23)/'Forecast Assumptions'!C21</f>
        <v>327.20518847183962</v>
      </c>
      <c r="D33" s="24">
        <f>(SUMPRODUCT($C$12:$G$12,1/(1+0.21)^$C$13:$G$13)+$G$12*(1+0.05)/(0.21-0.05)/(1+0.21)^5-'Forecast Assumptions'!C22+'Forecast Assumptions'!C23)/'Forecast Assumptions'!C21</f>
        <v>341.63679373731827</v>
      </c>
      <c r="E33" s="24">
        <f>(SUMPRODUCT($C$12:$G$12,1/(1+0.21)^$C$13:$G$13)+$G$12*(1+0.06)/(0.21-0.06)/(1+0.21)^5-'Forecast Assumptions'!C22+'Forecast Assumptions'!C23)/'Forecast Assumptions'!C21</f>
        <v>357.99261303819412</v>
      </c>
      <c r="F33" s="24">
        <f>(SUMPRODUCT($C$12:$G$12,1/(1+0.21)^$C$13:$G$13)+$G$12*(1+0.07)/(0.21-0.07)/(1+0.21)^5-'Forecast Assumptions'!C22+'Forecast Assumptions'!C23)/'Forecast Assumptions'!C21</f>
        <v>376.68497795348065</v>
      </c>
      <c r="G33" s="24">
        <f>(SUMPRODUCT($C$12:$G$12,1/(1+0.21)^$C$13:$G$13)+$G$12*(1+0.08)/(0.21-0.08)/(1+0.21)^5-'Forecast Assumptions'!C22+'Forecast Assumptions'!C23)/'Forecast Assumptions'!C21</f>
        <v>398.25309131727289</v>
      </c>
      <c r="H33" s="6"/>
    </row>
    <row r="34" spans="2:8">
      <c r="B34" s="26">
        <v>0.22</v>
      </c>
      <c r="C34" s="24">
        <f>(SUMPRODUCT($C$12:$G$12,1/(1+0.22)^$C$13:$G$13)+$G$12*(1+0.04)/(0.22-0.04)/(1+0.22)^5-'Forecast Assumptions'!C22+'Forecast Assumptions'!C23)/'Forecast Assumptions'!C21</f>
        <v>304.30014983705104</v>
      </c>
      <c r="D34" s="24">
        <f>(SUMPRODUCT($C$12:$G$12,1/(1+0.22)^$C$13:$G$13)+$G$12*(1+0.05)/(0.22-0.05)/(1+0.22)^5-'Forecast Assumptions'!C22+'Forecast Assumptions'!C23)/'Forecast Assumptions'!C21</f>
        <v>316.71279320267217</v>
      </c>
      <c r="E34" s="24">
        <f>(SUMPRODUCT($C$12:$G$12,1/(1+0.22)^$C$13:$G$13)+$G$12*(1+0.06)/(0.22-0.06)/(1+0.22)^5-'Forecast Assumptions'!C22+'Forecast Assumptions'!C23)/'Forecast Assumptions'!C21</f>
        <v>330.67701698899594</v>
      </c>
      <c r="F34" s="24">
        <f>(SUMPRODUCT($C$12:$G$12,1/(1+0.22)^$C$13:$G$13)+$G$12*(1+0.07)/(0.22-0.07)/(1+0.22)^5-'Forecast Assumptions'!C22+'Forecast Assumptions'!C23)/'Forecast Assumptions'!C21</f>
        <v>346.50313728016283</v>
      </c>
      <c r="G34" s="24">
        <f>(SUMPRODUCT($C$12:$G$12,1/(1+0.22)^$C$13:$G$13)+$G$12*(1+0.08)/(0.22-0.08)/(1+0.22)^5-'Forecast Assumptions'!C22+'Forecast Assumptions'!C23)/'Forecast Assumptions'!C21</f>
        <v>364.5901318986393</v>
      </c>
      <c r="H34" s="6"/>
    </row>
  </sheetData>
  <sheetProtection algorithmName="SHA-512" hashValue="57RGbPicf9axhXS6UppKKTWFp+IW0+lGj/BMc1xlrWB92mbnugLHjs/Hs5vdq7WkQbwmWt0fx7MQHg0rTS3Q1Q==" saltValue="9YFs35j9aqEgicWbzNMldg==" spinCount="100000" sheet="1" objects="1" scenarios="1"/>
  <mergeCells count="5">
    <mergeCell ref="B2:H2"/>
    <mergeCell ref="B10:H10"/>
    <mergeCell ref="B4:D4"/>
    <mergeCell ref="B28:G28"/>
    <mergeCell ref="B17:C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J18"/>
  <sheetViews>
    <sheetView showGridLines="0" zoomScale="80" zoomScaleNormal="80" zoomScaleSheetLayoutView="100" workbookViewId="0">
      <selection activeCell="F21" sqref="A1:XFD1048576"/>
    </sheetView>
  </sheetViews>
  <sheetFormatPr defaultColWidth="8.75" defaultRowHeight="15"/>
  <cols>
    <col min="1" max="1" width="2.75" style="4" customWidth="1"/>
    <col min="2" max="2" width="24" style="4" customWidth="1"/>
    <col min="3" max="3" width="18" style="4" customWidth="1"/>
    <col min="4" max="4" width="28.375" style="4" customWidth="1"/>
    <col min="5" max="5" width="22" style="4" customWidth="1"/>
    <col min="6" max="7" width="17" style="4" customWidth="1"/>
    <col min="8" max="8" width="18" style="4" customWidth="1"/>
    <col min="9" max="9" width="14" style="4" customWidth="1"/>
    <col min="10" max="10" width="12" style="4" customWidth="1"/>
    <col min="11" max="16384" width="8.75" style="4"/>
  </cols>
  <sheetData>
    <row r="2" spans="2:10" ht="21">
      <c r="B2" s="43" t="s">
        <v>289</v>
      </c>
      <c r="C2" s="43"/>
      <c r="D2" s="43"/>
      <c r="E2" s="43"/>
      <c r="F2" s="43"/>
      <c r="G2" s="43"/>
      <c r="H2" s="43"/>
      <c r="I2" s="43"/>
      <c r="J2" s="43"/>
    </row>
    <row r="4" spans="2:10">
      <c r="B4" s="31" t="s">
        <v>33</v>
      </c>
      <c r="C4" s="31" t="s">
        <v>196</v>
      </c>
      <c r="D4" s="31" t="s">
        <v>197</v>
      </c>
      <c r="E4" s="31" t="s">
        <v>198</v>
      </c>
      <c r="F4" s="31" t="s">
        <v>199</v>
      </c>
      <c r="G4" s="31" t="s">
        <v>200</v>
      </c>
      <c r="H4" s="31" t="s">
        <v>201</v>
      </c>
      <c r="I4" s="31" t="s">
        <v>202</v>
      </c>
      <c r="J4" s="31" t="s">
        <v>203</v>
      </c>
    </row>
    <row r="5" spans="2:10">
      <c r="B5" s="13" t="s">
        <v>204</v>
      </c>
      <c r="C5" s="36">
        <v>1066.7</v>
      </c>
      <c r="D5" s="36">
        <v>18175</v>
      </c>
      <c r="E5" s="36">
        <v>19125</v>
      </c>
      <c r="F5" s="36">
        <v>4306.7039999999997</v>
      </c>
      <c r="G5" s="36">
        <v>1981.3489999999999</v>
      </c>
      <c r="H5" s="36">
        <v>970</v>
      </c>
      <c r="I5" s="37">
        <f>E5/G5</f>
        <v>9.652514524195384</v>
      </c>
      <c r="J5" s="37">
        <f>D5/H5</f>
        <v>18.737113402061855</v>
      </c>
    </row>
    <row r="6" spans="2:10">
      <c r="B6" s="13" t="s">
        <v>205</v>
      </c>
      <c r="C6" s="36">
        <v>125</v>
      </c>
      <c r="D6" s="36">
        <v>4230</v>
      </c>
      <c r="E6" s="36">
        <v>4580</v>
      </c>
      <c r="F6" s="36">
        <v>1150</v>
      </c>
      <c r="G6" s="36">
        <v>420</v>
      </c>
      <c r="H6" s="36">
        <v>190</v>
      </c>
      <c r="I6" s="37">
        <f>E6/G6</f>
        <v>10.904761904761905</v>
      </c>
      <c r="J6" s="37">
        <f>D6/H6</f>
        <v>22.263157894736842</v>
      </c>
    </row>
    <row r="7" spans="2:10">
      <c r="B7" s="13" t="s">
        <v>206</v>
      </c>
      <c r="C7" s="36">
        <v>115</v>
      </c>
      <c r="D7" s="36">
        <v>1852</v>
      </c>
      <c r="E7" s="36">
        <v>1952</v>
      </c>
      <c r="F7" s="36">
        <v>1050</v>
      </c>
      <c r="G7" s="36">
        <v>360</v>
      </c>
      <c r="H7" s="36">
        <v>220</v>
      </c>
      <c r="I7" s="37">
        <f>E7/G7</f>
        <v>5.4222222222222225</v>
      </c>
      <c r="J7" s="37">
        <f>D7/H7</f>
        <v>8.418181818181818</v>
      </c>
    </row>
    <row r="8" spans="2:10">
      <c r="I8" s="7"/>
      <c r="J8" s="7"/>
    </row>
    <row r="9" spans="2:10">
      <c r="B9" s="33" t="s">
        <v>207</v>
      </c>
      <c r="I9" s="35">
        <f>MEDIAN(I5:I7)</f>
        <v>9.652514524195384</v>
      </c>
      <c r="J9" s="35">
        <f>MEDIAN(J5:J7)</f>
        <v>18.737113402061855</v>
      </c>
    </row>
    <row r="11" spans="2:10">
      <c r="B11" s="32" t="s">
        <v>208</v>
      </c>
      <c r="C11" s="32" t="s">
        <v>174</v>
      </c>
      <c r="D11" s="32" t="s">
        <v>209</v>
      </c>
    </row>
    <row r="12" spans="2:10">
      <c r="B12" s="13" t="s">
        <v>210</v>
      </c>
      <c r="C12" s="38">
        <f>I9*G5</f>
        <v>19125</v>
      </c>
      <c r="D12" s="13" t="s">
        <v>211</v>
      </c>
    </row>
    <row r="13" spans="2:10">
      <c r="B13" s="13" t="s">
        <v>212</v>
      </c>
      <c r="C13" s="38">
        <f>C12-'Forecast Assumptions'!C22+'Forecast Assumptions'!C23</f>
        <v>18175</v>
      </c>
      <c r="D13" s="13" t="s">
        <v>213</v>
      </c>
    </row>
    <row r="14" spans="2:10">
      <c r="B14" s="13" t="s">
        <v>192</v>
      </c>
      <c r="C14" s="39">
        <f>C13/'Forecast Assumptions'!C21</f>
        <v>1066.6079812206574</v>
      </c>
      <c r="D14" s="13" t="s">
        <v>214</v>
      </c>
    </row>
    <row r="16" spans="2:10">
      <c r="B16" s="44" t="s">
        <v>215</v>
      </c>
      <c r="C16" s="44"/>
      <c r="D16" s="44"/>
      <c r="E16" s="44"/>
      <c r="F16" s="44"/>
      <c r="G16" s="44"/>
      <c r="H16" s="44"/>
      <c r="I16" s="44"/>
      <c r="J16" s="44"/>
    </row>
    <row r="17" spans="2:10">
      <c r="B17" s="33" t="s">
        <v>216</v>
      </c>
      <c r="C17" s="47" t="s">
        <v>217</v>
      </c>
      <c r="D17" s="47"/>
      <c r="E17" s="47"/>
      <c r="F17" s="47"/>
      <c r="G17" s="47"/>
      <c r="H17" s="47"/>
      <c r="I17" s="47"/>
      <c r="J17" s="47"/>
    </row>
    <row r="18" spans="2:10">
      <c r="B18" s="33" t="s">
        <v>218</v>
      </c>
      <c r="C18" s="47" t="s">
        <v>219</v>
      </c>
      <c r="D18" s="47"/>
      <c r="E18" s="47"/>
      <c r="F18" s="47"/>
      <c r="G18" s="47"/>
      <c r="H18" s="47"/>
      <c r="I18" s="47"/>
      <c r="J18" s="47"/>
    </row>
  </sheetData>
  <sheetProtection algorithmName="SHA-512" hashValue="I3QQ1CvpSH4gA1m6d9ctG+AyqNG3XAvbIK4VGZX7zcypv+5+Uzu6jpSHLRd4i2nufdLiVbrz++hTAuaN7qtviA==" saltValue="eiavhtLCDgJby4o0kSvkng==" spinCount="100000" sheet="1" objects="1" scenarios="1"/>
  <mergeCells count="4">
    <mergeCell ref="B2:J2"/>
    <mergeCell ref="C17:J17"/>
    <mergeCell ref="C18:J18"/>
    <mergeCell ref="B16:J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K45"/>
  <sheetViews>
    <sheetView showGridLines="0" zoomScale="80" zoomScaleNormal="80" zoomScaleSheetLayoutView="100" workbookViewId="0">
      <selection activeCell="G6" sqref="A1:XFD1048576"/>
    </sheetView>
  </sheetViews>
  <sheetFormatPr defaultColWidth="8.75" defaultRowHeight="15"/>
  <cols>
    <col min="1" max="1" width="2.75" style="4" customWidth="1"/>
    <col min="2" max="2" width="27.875" style="4" bestFit="1" customWidth="1"/>
    <col min="3" max="7" width="16" style="4" customWidth="1"/>
    <col min="8" max="9" width="20.125" style="4" bestFit="1" customWidth="1"/>
    <col min="10" max="10" width="17.875" style="4" bestFit="1" customWidth="1"/>
    <col min="11" max="11" width="16" style="4" customWidth="1"/>
    <col min="12" max="16384" width="8.75" style="4"/>
  </cols>
  <sheetData>
    <row r="2" spans="2:11" ht="21">
      <c r="B2" s="43" t="s">
        <v>297</v>
      </c>
      <c r="C2" s="43"/>
      <c r="D2" s="43"/>
      <c r="E2" s="43"/>
      <c r="F2" s="43"/>
      <c r="G2" s="43"/>
      <c r="H2" s="43"/>
      <c r="I2" s="43"/>
      <c r="J2" s="43"/>
      <c r="K2" s="43"/>
    </row>
    <row r="4" spans="2:11">
      <c r="B4" s="44" t="s">
        <v>292</v>
      </c>
      <c r="C4" s="44"/>
      <c r="D4" s="44"/>
      <c r="E4" s="44" t="s">
        <v>293</v>
      </c>
      <c r="F4" s="44"/>
      <c r="G4" s="44" t="s">
        <v>294</v>
      </c>
      <c r="H4" s="44"/>
      <c r="I4" s="44"/>
      <c r="J4" s="44" t="s">
        <v>194</v>
      </c>
      <c r="K4" s="44"/>
    </row>
    <row r="5" spans="2:11" ht="30" customHeight="1">
      <c r="B5" s="52">
        <f>'DCF Valuation'!C23</f>
        <v>402.08085731002512</v>
      </c>
      <c r="C5" s="52"/>
      <c r="D5" s="52"/>
      <c r="E5" s="52">
        <f>'DCF Valuation'!C24</f>
        <v>1066.7</v>
      </c>
      <c r="F5" s="52"/>
      <c r="G5" s="53">
        <f>'DCF Valuation'!C25</f>
        <v>-0.62306097561636342</v>
      </c>
      <c r="H5" s="53"/>
      <c r="I5" s="53"/>
      <c r="J5" s="54" t="str">
        <f>'DCF Valuation'!C26</f>
        <v>SELL</v>
      </c>
      <c r="K5" s="54"/>
    </row>
    <row r="7" spans="2:11">
      <c r="B7" s="51" t="s">
        <v>291</v>
      </c>
      <c r="C7" s="51"/>
      <c r="D7" s="51"/>
      <c r="E7" s="51"/>
      <c r="F7" s="51"/>
      <c r="H7" s="51" t="s">
        <v>290</v>
      </c>
      <c r="I7" s="51"/>
      <c r="J7" s="51"/>
      <c r="K7" s="28"/>
    </row>
    <row r="8" spans="2:11" ht="14.45" customHeight="1">
      <c r="B8" s="55" t="s">
        <v>220</v>
      </c>
      <c r="C8" s="55"/>
      <c r="D8" s="55"/>
      <c r="E8" s="55"/>
      <c r="F8" s="55"/>
      <c r="H8" s="31" t="s">
        <v>221</v>
      </c>
      <c r="I8" s="31" t="s">
        <v>46</v>
      </c>
      <c r="J8" s="31" t="s">
        <v>222</v>
      </c>
      <c r="K8" s="1"/>
    </row>
    <row r="9" spans="2:11">
      <c r="B9" s="55"/>
      <c r="C9" s="55"/>
      <c r="D9" s="55"/>
      <c r="E9" s="55"/>
      <c r="F9" s="55"/>
      <c r="H9" s="13" t="s">
        <v>79</v>
      </c>
      <c r="I9" s="13" t="s">
        <v>223</v>
      </c>
      <c r="J9" s="13" t="s">
        <v>224</v>
      </c>
    </row>
    <row r="10" spans="2:11">
      <c r="B10" s="55"/>
      <c r="C10" s="55"/>
      <c r="D10" s="55"/>
      <c r="E10" s="55"/>
      <c r="F10" s="55"/>
      <c r="H10" s="13" t="s">
        <v>79</v>
      </c>
      <c r="I10" s="13" t="s">
        <v>225</v>
      </c>
      <c r="J10" s="13" t="s">
        <v>226</v>
      </c>
    </row>
    <row r="11" spans="2:11">
      <c r="B11" s="30"/>
      <c r="C11" s="30"/>
      <c r="D11" s="30"/>
      <c r="E11" s="30"/>
      <c r="F11" s="30"/>
      <c r="H11" s="13" t="s">
        <v>73</v>
      </c>
      <c r="I11" s="13" t="s">
        <v>227</v>
      </c>
      <c r="J11" s="13" t="s">
        <v>228</v>
      </c>
    </row>
    <row r="12" spans="2:11">
      <c r="B12" s="30"/>
      <c r="C12" s="30"/>
      <c r="D12" s="30"/>
      <c r="E12" s="30"/>
      <c r="F12" s="30"/>
      <c r="H12" s="13" t="s">
        <v>73</v>
      </c>
      <c r="I12" s="13" t="s">
        <v>229</v>
      </c>
      <c r="J12" s="13" t="s">
        <v>230</v>
      </c>
    </row>
    <row r="13" spans="2:11">
      <c r="B13" s="32" t="s">
        <v>231</v>
      </c>
      <c r="C13" s="32" t="s">
        <v>95</v>
      </c>
      <c r="D13" s="32" t="s">
        <v>100</v>
      </c>
      <c r="E13" s="32" t="s">
        <v>105</v>
      </c>
      <c r="F13" s="18"/>
      <c r="G13" s="18"/>
    </row>
    <row r="14" spans="2:11">
      <c r="B14" s="13" t="s">
        <v>91</v>
      </c>
      <c r="C14" s="13">
        <v>2400</v>
      </c>
      <c r="D14" s="13">
        <v>950</v>
      </c>
      <c r="E14" s="13">
        <v>435</v>
      </c>
    </row>
    <row r="15" spans="2:11">
      <c r="B15" s="13" t="s">
        <v>92</v>
      </c>
      <c r="C15" s="13">
        <v>3500</v>
      </c>
      <c r="D15" s="13">
        <v>1380</v>
      </c>
      <c r="E15" s="13">
        <v>630</v>
      </c>
      <c r="H15" s="32" t="s">
        <v>231</v>
      </c>
      <c r="I15" s="32" t="s">
        <v>65</v>
      </c>
      <c r="J15" s="32" t="s">
        <v>232</v>
      </c>
    </row>
    <row r="16" spans="2:11">
      <c r="B16" s="13" t="s">
        <v>93</v>
      </c>
      <c r="C16" s="13">
        <v>4306.7039999999997</v>
      </c>
      <c r="D16" s="13">
        <v>1981.3489999999999</v>
      </c>
      <c r="E16" s="13">
        <v>970</v>
      </c>
      <c r="H16" s="13" t="s">
        <v>91</v>
      </c>
      <c r="I16" s="25">
        <f>'Historical Financials'!C28</f>
        <v>0.39583333333333331</v>
      </c>
      <c r="J16" s="25">
        <f>'Historical Financials'!C29</f>
        <v>0.18124999999999999</v>
      </c>
    </row>
    <row r="17" spans="8:10">
      <c r="H17" s="13" t="s">
        <v>92</v>
      </c>
      <c r="I17" s="25">
        <f>'Historical Financials'!D28</f>
        <v>0.39428571428571429</v>
      </c>
      <c r="J17" s="25">
        <f>'Historical Financials'!D29</f>
        <v>0.18</v>
      </c>
    </row>
    <row r="18" spans="8:10">
      <c r="H18" s="13" t="s">
        <v>93</v>
      </c>
      <c r="I18" s="25">
        <f>'Historical Financials'!E28</f>
        <v>0.46006156912571655</v>
      </c>
      <c r="J18" s="25">
        <f>'Historical Financials'!E29</f>
        <v>0.22523024568208078</v>
      </c>
    </row>
    <row r="39" spans="2:11">
      <c r="B39" s="51" t="s">
        <v>295</v>
      </c>
      <c r="C39" s="51"/>
      <c r="D39" s="51"/>
      <c r="E39" s="51"/>
      <c r="F39" s="51"/>
      <c r="G39" s="28"/>
      <c r="H39" s="28"/>
      <c r="I39" s="28"/>
      <c r="J39" s="28"/>
      <c r="K39" s="28"/>
    </row>
    <row r="40" spans="2:11">
      <c r="B40" s="31" t="s">
        <v>233</v>
      </c>
      <c r="C40" s="31" t="s">
        <v>234</v>
      </c>
      <c r="D40" s="31" t="s">
        <v>235</v>
      </c>
      <c r="E40" s="31"/>
      <c r="F40" s="31"/>
    </row>
    <row r="41" spans="2:11">
      <c r="B41" s="13" t="s">
        <v>236</v>
      </c>
      <c r="C41" s="13" t="s">
        <v>237</v>
      </c>
      <c r="D41" s="13" t="s">
        <v>238</v>
      </c>
      <c r="E41" s="13"/>
      <c r="F41" s="13"/>
    </row>
    <row r="42" spans="2:11">
      <c r="B42" s="13" t="s">
        <v>239</v>
      </c>
      <c r="C42" s="13" t="s">
        <v>240</v>
      </c>
      <c r="D42" s="13" t="s">
        <v>241</v>
      </c>
      <c r="E42" s="13"/>
      <c r="F42" s="13"/>
    </row>
    <row r="43" spans="2:11">
      <c r="B43" s="13" t="s">
        <v>242</v>
      </c>
      <c r="C43" s="13" t="s">
        <v>240</v>
      </c>
      <c r="D43" s="13" t="s">
        <v>243</v>
      </c>
      <c r="E43" s="13"/>
      <c r="F43" s="13"/>
    </row>
    <row r="44" spans="2:11">
      <c r="B44" s="13" t="s">
        <v>244</v>
      </c>
      <c r="C44" s="13" t="s">
        <v>240</v>
      </c>
      <c r="D44" s="13" t="s">
        <v>245</v>
      </c>
      <c r="E44" s="13"/>
      <c r="F44" s="13"/>
    </row>
    <row r="45" spans="2:11">
      <c r="B45" s="13" t="s">
        <v>246</v>
      </c>
      <c r="C45" s="13" t="s">
        <v>240</v>
      </c>
      <c r="D45" s="13" t="s">
        <v>247</v>
      </c>
      <c r="E45" s="13"/>
      <c r="F45" s="13"/>
    </row>
  </sheetData>
  <sheetProtection algorithmName="SHA-512" hashValue="yKxVWxMhdAITOmRSPvaKJLFwpHMIxHbY/7LP78tcB93lUntKY8QbVCJhsgU/sNA0aYw5xlZh4ly4KOTFzARTTg==" saltValue="TMzgy2hKR2VNSUKb8Ojd9w==" spinCount="100000" sheet="1" objects="1" scenarios="1"/>
  <mergeCells count="13">
    <mergeCell ref="B39:F39"/>
    <mergeCell ref="B7:F7"/>
    <mergeCell ref="B2:K2"/>
    <mergeCell ref="B4:D4"/>
    <mergeCell ref="B5:D5"/>
    <mergeCell ref="E4:F4"/>
    <mergeCell ref="E5:F5"/>
    <mergeCell ref="G4:I4"/>
    <mergeCell ref="G5:I5"/>
    <mergeCell ref="J4:K4"/>
    <mergeCell ref="J5:K5"/>
    <mergeCell ref="B8:F10"/>
    <mergeCell ref="H7:J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F13"/>
  <sheetViews>
    <sheetView showGridLines="0" tabSelected="1" zoomScale="80" zoomScaleNormal="80" zoomScaleSheetLayoutView="100" workbookViewId="0">
      <selection activeCell="D15" sqref="A1:XFD1048576"/>
    </sheetView>
  </sheetViews>
  <sheetFormatPr defaultColWidth="8.75" defaultRowHeight="15"/>
  <cols>
    <col min="1" max="1" width="2.75" style="1" customWidth="1"/>
    <col min="2" max="2" width="33.75" style="1" customWidth="1"/>
    <col min="3" max="3" width="40.625" style="1" customWidth="1"/>
    <col min="4" max="4" width="75.25" style="1" bestFit="1" customWidth="1"/>
    <col min="5" max="5" width="31.5" style="1" bestFit="1" customWidth="1"/>
    <col min="6" max="6" width="14.75" style="1" bestFit="1" customWidth="1"/>
    <col min="7" max="16384" width="8.75" style="1"/>
  </cols>
  <sheetData>
    <row r="2" spans="2:6" ht="21">
      <c r="B2" s="43" t="s">
        <v>298</v>
      </c>
      <c r="C2" s="43"/>
      <c r="D2" s="43"/>
      <c r="E2" s="43"/>
      <c r="F2" s="43"/>
    </row>
    <row r="4" spans="2:6">
      <c r="B4" s="32" t="s">
        <v>248</v>
      </c>
      <c r="C4" s="32" t="s">
        <v>249</v>
      </c>
      <c r="D4" s="32" t="s">
        <v>250</v>
      </c>
      <c r="E4" s="32" t="s">
        <v>251</v>
      </c>
      <c r="F4" s="32" t="s">
        <v>234</v>
      </c>
    </row>
    <row r="5" spans="2:6">
      <c r="B5" s="2" t="s">
        <v>252</v>
      </c>
      <c r="C5" s="40" t="s">
        <v>253</v>
      </c>
      <c r="D5" s="2" t="s">
        <v>254</v>
      </c>
      <c r="E5" s="2" t="s">
        <v>255</v>
      </c>
      <c r="F5" s="2" t="s">
        <v>256</v>
      </c>
    </row>
    <row r="6" spans="2:6">
      <c r="B6" s="2" t="s">
        <v>257</v>
      </c>
      <c r="C6" s="40" t="s">
        <v>258</v>
      </c>
      <c r="D6" s="2" t="s">
        <v>259</v>
      </c>
      <c r="E6" s="2" t="s">
        <v>260</v>
      </c>
      <c r="F6" s="2" t="s">
        <v>256</v>
      </c>
    </row>
    <row r="7" spans="2:6">
      <c r="B7" s="2" t="s">
        <v>261</v>
      </c>
      <c r="C7" s="40" t="s">
        <v>262</v>
      </c>
      <c r="D7" s="2" t="s">
        <v>263</v>
      </c>
      <c r="E7" s="2" t="s">
        <v>260</v>
      </c>
      <c r="F7" s="2" t="s">
        <v>264</v>
      </c>
    </row>
    <row r="8" spans="2:6">
      <c r="B8" s="2" t="s">
        <v>265</v>
      </c>
      <c r="C8" s="2" t="s">
        <v>266</v>
      </c>
      <c r="D8" s="2" t="s">
        <v>267</v>
      </c>
      <c r="E8" s="2" t="s">
        <v>268</v>
      </c>
      <c r="F8" s="2" t="s">
        <v>269</v>
      </c>
    </row>
    <row r="10" spans="2:6">
      <c r="B10" s="44" t="s">
        <v>270</v>
      </c>
      <c r="C10" s="44"/>
    </row>
    <row r="11" spans="2:6">
      <c r="B11" s="46" t="s">
        <v>271</v>
      </c>
      <c r="C11" s="46"/>
    </row>
    <row r="12" spans="2:6">
      <c r="B12" s="46" t="s">
        <v>272</v>
      </c>
      <c r="C12" s="46"/>
    </row>
    <row r="13" spans="2:6">
      <c r="B13" s="46" t="s">
        <v>273</v>
      </c>
      <c r="C13" s="46"/>
    </row>
  </sheetData>
  <sheetProtection algorithmName="SHA-512" hashValue="nlEdlzVrYX7RoVFMHSU00wVXbklLuLwjcA968cye/25KDfZ+K+k+iq4gZ1a9dPDBEHLzIPUkYwyLAHVZLyFcCw==" saltValue="+vgAM355CRHHGQSbmA+tCA==" spinCount="100000" sheet="1" objects="1" scenarios="1"/>
  <mergeCells count="5">
    <mergeCell ref="B2:F2"/>
    <mergeCell ref="B10:C10"/>
    <mergeCell ref="B11:C11"/>
    <mergeCell ref="B12:C12"/>
    <mergeCell ref="B13:C13"/>
  </mergeCells>
  <hyperlinks>
    <hyperlink ref="C5" r:id="rId1" xr:uid="{CC269996-B09D-4022-B850-85364DA0E7E7}"/>
    <hyperlink ref="C6" r:id="rId2" xr:uid="{0A60FC57-B808-482A-B4C4-EE80A66B6753}"/>
    <hyperlink ref="C7" r:id="rId3" xr:uid="{DF0FFBE1-11D0-4919-8678-2769F14B4B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 Me</vt:lpstr>
      <vt:lpstr>Company Overview</vt:lpstr>
      <vt:lpstr>Historical Financials</vt:lpstr>
      <vt:lpstr>Forecast Assumptions</vt:lpstr>
      <vt:lpstr>Financial Forecast</vt:lpstr>
      <vt:lpstr>DCF Valuation</vt:lpstr>
      <vt:lpstr>Comparable Companies</vt:lpstr>
      <vt:lpstr>Dashboard</vt:lpstr>
      <vt:lpstr>Sources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Emmanuel Ejiogu</dc:creator>
  <cp:keywords/>
  <dc:description/>
  <cp:lastModifiedBy>Ugochukwu Ejiogu</cp:lastModifiedBy>
  <cp:revision/>
  <dcterms:created xsi:type="dcterms:W3CDTF">2026-10-19T11:13:01Z</dcterms:created>
  <dcterms:modified xsi:type="dcterms:W3CDTF">2026-10-19T16:03:11Z</dcterms:modified>
  <cp:category/>
  <cp:contentStatus/>
</cp:coreProperties>
</file>